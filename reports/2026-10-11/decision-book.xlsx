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 Me" sheetId="1" state="visible" r:id="rId3"/>
    <sheet name="Policy" sheetId="2" state="visible" r:id="rId4"/>
    <sheet name="Decisions" sheetId="3" state="visible" r:id="rId5"/>
    <sheet name="SG Income" sheetId="4" state="visible" r:id="rId6"/>
    <sheet name="FX" sheetId="5" state="visible" r:id="rId7"/>
    <sheet name="Options" sheetId="6" state="visible" r:id="rId8"/>
    <sheet name="Decision Log" sheetId="7" state="visible" r:id="rId9"/>
  </sheets>
  <definedNames>
    <definedName function="false" hidden="true" localSheetId="2" name="_xlnm._FilterDatabase" vbProcedure="false">Decisions!$A$1:$S$84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Engine output for week to 2026-10-09: VIX-based.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EXAMPLE ROW showing the format. Replace with your own decisions.</t>
        </r>
      </text>
    </comment>
  </commentList>
</comments>
</file>

<file path=xl/sharedStrings.xml><?xml version="1.0" encoding="utf-8"?>
<sst xmlns="http://schemas.openxmlformats.org/spreadsheetml/2006/main" count="859" uniqueCount="406">
  <si>
    <t xml:space="preserve">Global Investment Decision Book</t>
  </si>
  <si>
    <t xml:space="preserve">Week to 2026-10-09 · Source: Interactive Brokers weekly closes via global-investment-research</t>
  </si>
  <si>
    <t xml:space="preserve">How to use</t>
  </si>
  <si>
    <t xml:space="preserve">1. Enter your portfolio value on the Policy tab (yellow cell). Every Amount recalculates.</t>
  </si>
  <si>
    <t xml:space="preserve">2. Policy tab: blue numbers are editable limits; all sizes and limit prices are formulas that use them.</t>
  </si>
  <si>
    <t xml:space="preserve">3. Decisions tab: work the Accumulate rows first; pass the 5-question checklist before acting.</t>
  </si>
  <si>
    <t xml:space="preserve">4. SG Income tab: limit-order prices for 6%, 7% and 8% trailing yield; change the band on Policy.</t>
  </si>
  <si>
    <t xml:space="preserve">5. Decision Log tab: one row per decision (row 2 is a format example, delete it). Review monthly.</t>
  </si>
  <si>
    <t xml:space="preserve">Colour legend</t>
  </si>
  <si>
    <t xml:space="preserve">Blue text = input or engine output pasted as value · Black = formula · Green = link to another tab · Yellow fill = enter your own value</t>
  </si>
  <si>
    <t xml:space="preserve">Limits</t>
  </si>
  <si>
    <t xml:space="preserve">Mechanical price-trend, momentum and yield rules only: no valuation, fundamentals, costs or taxes. Not personalised advice.</t>
  </si>
  <si>
    <t xml:space="preserve">Full rules: docs/HANDBOOK.md in the repository.</t>
  </si>
  <si>
    <t xml:space="preserve">Setting</t>
  </si>
  <si>
    <t xml:space="preserve">Value</t>
  </si>
  <si>
    <t xml:space="preserve">Meaning</t>
  </si>
  <si>
    <t xml:space="preserve">Portfolio value (your base currency)</t>
  </si>
  <si>
    <t xml:space="preserve">Enter your own figure</t>
  </si>
  <si>
    <t xml:space="preserve">Risk budget this week</t>
  </si>
  <si>
    <t xml:space="preserve">Deploy 100% of the normal risk budget (Volatility calm).</t>
  </si>
  <si>
    <t xml:space="preserve">Risk per position</t>
  </si>
  <si>
    <t xml:space="preserve">Loss if the exit level is hit, as share of portfolio</t>
  </si>
  <si>
    <t xml:space="preserve">Single stock cap</t>
  </si>
  <si>
    <t xml:space="preserve">Maximum weight per company</t>
  </si>
  <si>
    <t xml:space="preserve">ETF / fund cap</t>
  </si>
  <si>
    <t xml:space="preserve">Maximum weight per broad fund</t>
  </si>
  <si>
    <t xml:space="preserve">Exit buffer below 40-week average</t>
  </si>
  <si>
    <t xml:space="preserve">Exit level = 40w average × (1 − buffer)</t>
  </si>
  <si>
    <t xml:space="preserve">Income band low</t>
  </si>
  <si>
    <t xml:space="preserve">Singapore income target: lower bound</t>
  </si>
  <si>
    <t xml:space="preserve">Income band high</t>
  </si>
  <si>
    <t xml:space="preserve">Singapore income target: upper bound</t>
  </si>
  <si>
    <t xml:space="preserve">Options sleeve cap</t>
  </si>
  <si>
    <t xml:space="preserve">Total option premium at risk, share of portfolio</t>
  </si>
  <si>
    <t xml:space="preserve">Options per-trade risk</t>
  </si>
  <si>
    <t xml:space="preserve">Premium at risk per option trade</t>
  </si>
  <si>
    <t xml:space="preserve">Portfolio tilts this week</t>
  </si>
  <si>
    <t xml:space="preserve">Keep bond duration short; avoid adding long Treasuries</t>
  </si>
  <si>
    <t xml:space="preserve">Because: Long yields rising (bond prices down-trend)</t>
  </si>
  <si>
    <t xml:space="preserve">Hedge or underweight non-USD assets for a USD-based portfolio; strong dollar is a headwind for HK/EM</t>
  </si>
  <si>
    <t xml:space="preserve">Because: Dollar strengthening</t>
  </si>
  <si>
    <t xml:space="preserve">Keep energy exposure (oil up-trend supports XLE/SHEL/XOM)</t>
  </si>
  <si>
    <t xml:space="preserve">Because: Oil in up-trend</t>
  </si>
  <si>
    <t xml:space="preserve">Do not add gold until it reclaims its 40-week average</t>
  </si>
  <si>
    <t xml:space="preserve">Because: Gold in down-trend</t>
  </si>
  <si>
    <t xml:space="preserve">Favour quality and defensives over consumer cyclicals</t>
  </si>
  <si>
    <t xml:space="preserve">Because: Defensives leading cyclicals</t>
  </si>
  <si>
    <t xml:space="preserve">Underweight China A-shares; wait for relative strength to turn</t>
  </si>
  <si>
    <t xml:space="preserve">Because: US outperforming China A-shares</t>
  </si>
  <si>
    <t xml:space="preserve">Keep Hong Kong at or below benchmark weight</t>
  </si>
  <si>
    <t xml:space="preserve">Because: US outperforming Hong Kong</t>
  </si>
  <si>
    <t xml:space="preserve">Symbol</t>
  </si>
  <si>
    <t xml:space="preserve">Name</t>
  </si>
  <si>
    <t xml:space="preserve">Market</t>
  </si>
  <si>
    <t xml:space="preserve">Sector</t>
  </si>
  <si>
    <t xml:space="preserve">Type</t>
  </si>
  <si>
    <t xml:space="preserve">Decision</t>
  </si>
  <si>
    <t xml:space="preserve">Why</t>
  </si>
  <si>
    <t xml:space="preserve">Last</t>
  </si>
  <si>
    <t xml:space="preserve">Buy zone low</t>
  </si>
  <si>
    <t xml:space="preserve">Buy zone high</t>
  </si>
  <si>
    <t xml:space="preserve">40w average</t>
  </si>
  <si>
    <t xml:space="preserve">Exit level</t>
  </si>
  <si>
    <t xml:space="preserve">Revisit above</t>
  </si>
  <si>
    <t xml:space="preserve">Distance to exit</t>
  </si>
  <si>
    <t xml:space="preserve">Max weight</t>
  </si>
  <si>
    <t xml:space="preserve">Amount</t>
  </si>
  <si>
    <t xml:space="preserve">3m return</t>
  </si>
  <si>
    <t xml:space="preserve">1y return</t>
  </si>
  <si>
    <t xml:space="preserve">Momentum</t>
  </si>
  <si>
    <t xml:space="preserve">XLE</t>
  </si>
  <si>
    <t xml:space="preserve">Energy Select Sector ETF</t>
  </si>
  <si>
    <t xml:space="preserve">US</t>
  </si>
  <si>
    <t xml:space="preserve">Energy</t>
  </si>
  <si>
    <t xml:space="preserve">Fund</t>
  </si>
  <si>
    <t xml:space="preserve">Accumulate</t>
  </si>
  <si>
    <t xml:space="preserve">Up-trend with risk-adjusted momentum &gt;= 0.5.</t>
  </si>
  <si>
    <t xml:space="preserve">SHEL</t>
  </si>
  <si>
    <t xml:space="preserve">Shell</t>
  </si>
  <si>
    <t xml:space="preserve">UK</t>
  </si>
  <si>
    <t xml:space="preserve">Stock</t>
  </si>
  <si>
    <t xml:space="preserve">XOM</t>
  </si>
  <si>
    <t xml:space="preserve">Exxon Mobil</t>
  </si>
  <si>
    <t xml:space="preserve">CPER</t>
  </si>
  <si>
    <t xml:space="preserve">US Copper Index Fund</t>
  </si>
  <si>
    <t xml:space="preserve">Cross-asset</t>
  </si>
  <si>
    <t xml:space="preserve">Copper</t>
  </si>
  <si>
    <t xml:space="preserve">XLK</t>
  </si>
  <si>
    <t xml:space="preserve">Technology Select Sector ETF</t>
  </si>
  <si>
    <t xml:space="preserve">Technology</t>
  </si>
  <si>
    <t xml:space="preserve">SPY</t>
  </si>
  <si>
    <t xml:space="preserve">S&amp;P 500 ETF</t>
  </si>
  <si>
    <t xml:space="preserve">Broad market</t>
  </si>
  <si>
    <t xml:space="preserve">AAPL</t>
  </si>
  <si>
    <t xml:space="preserve">Apple</t>
  </si>
  <si>
    <t xml:space="preserve">Hardware</t>
  </si>
  <si>
    <t xml:space="preserve">QQQ</t>
  </si>
  <si>
    <t xml:space="preserve">Nasdaq-100 ETF</t>
  </si>
  <si>
    <t xml:space="preserve">Technology tilt</t>
  </si>
  <si>
    <t xml:space="preserve">XLV</t>
  </si>
  <si>
    <t xml:space="preserve">Health Care Select Sector ETF</t>
  </si>
  <si>
    <t xml:space="preserve">Healthcare</t>
  </si>
  <si>
    <t xml:space="preserve">GOOGL</t>
  </si>
  <si>
    <t xml:space="preserve">Alphabet</t>
  </si>
  <si>
    <t xml:space="preserve">Communication services</t>
  </si>
  <si>
    <t xml:space="preserve">NVDA</t>
  </si>
  <si>
    <t xml:space="preserve">Nvidia</t>
  </si>
  <si>
    <t xml:space="preserve">Semiconductors</t>
  </si>
  <si>
    <t xml:space="preserve">CRWD</t>
  </si>
  <si>
    <t xml:space="preserve">CrowdStrike</t>
  </si>
  <si>
    <t xml:space="preserve">Software</t>
  </si>
  <si>
    <t xml:space="preserve">Hold</t>
  </si>
  <si>
    <t xml:space="preserve">Up-trend but 74% above 40-week average: hold, do not chase; add on pullback.</t>
  </si>
  <si>
    <t xml:space="preserve">USO</t>
  </si>
  <si>
    <t xml:space="preserve">US Oil Fund</t>
  </si>
  <si>
    <t xml:space="preserve">Crude oil</t>
  </si>
  <si>
    <t xml:space="preserve">Up-trend but 25% above 40-week average: hold, do not chase; add on pullback.</t>
  </si>
  <si>
    <t xml:space="preserve">SOXX</t>
  </si>
  <si>
    <t xml:space="preserve">Semiconductor ETF</t>
  </si>
  <si>
    <t xml:space="preserve">Up-trend but 20% above 40-week average: hold, do not chase; add on pullback.</t>
  </si>
  <si>
    <t xml:space="preserve">PANW</t>
  </si>
  <si>
    <t xml:space="preserve">Palo Alto Networks</t>
  </si>
  <si>
    <t xml:space="preserve">Up-trend but 63% above 40-week average: hold, do not chase; add on pullback.</t>
  </si>
  <si>
    <t xml:space="preserve">MSFT</t>
  </si>
  <si>
    <t xml:space="preserve">Microsoft</t>
  </si>
  <si>
    <t xml:space="preserve">Up-trend but 23% above 40-week average: hold, do not chase; add on pullback.</t>
  </si>
  <si>
    <t xml:space="preserve">ANET</t>
  </si>
  <si>
    <t xml:space="preserve">Arista Networks</t>
  </si>
  <si>
    <t xml:space="preserve">Networking</t>
  </si>
  <si>
    <t xml:space="preserve">Up-trend but 34% above 40-week average: hold, do not chase; add on pullback.</t>
  </si>
  <si>
    <t xml:space="preserve">600036</t>
  </si>
  <si>
    <t xml:space="preserve">China Merchants Bank A</t>
  </si>
  <si>
    <t xml:space="preserve">China</t>
  </si>
  <si>
    <t xml:space="preserve">Banks</t>
  </si>
  <si>
    <t xml:space="preserve">Up-trend but momentum &lt; 0.5 (or market stressed): hold existing, no urgency to add.</t>
  </si>
  <si>
    <t xml:space="preserve">AMZN</t>
  </si>
  <si>
    <t xml:space="preserve">Amazon</t>
  </si>
  <si>
    <t xml:space="preserve">Consumer / cloud</t>
  </si>
  <si>
    <t xml:space="preserve">IGV</t>
  </si>
  <si>
    <t xml:space="preserve">Software ETF</t>
  </si>
  <si>
    <t xml:space="preserve">Up-trend but 21% above 40-week average: hold, do not chase; add on pullback.</t>
  </si>
  <si>
    <t xml:space="preserve">600900</t>
  </si>
  <si>
    <t xml:space="preserve">China Yangtze Power</t>
  </si>
  <si>
    <t xml:space="preserve">Utilities</t>
  </si>
  <si>
    <t xml:space="preserve">META</t>
  </si>
  <si>
    <t xml:space="preserve">Meta Platforms</t>
  </si>
  <si>
    <t xml:space="preserve">NOW</t>
  </si>
  <si>
    <t xml:space="preserve">ServiceNow</t>
  </si>
  <si>
    <t xml:space="preserve">REL</t>
  </si>
  <si>
    <t xml:space="preserve">RELX</t>
  </si>
  <si>
    <t xml:space="preserve">Information services</t>
  </si>
  <si>
    <t xml:space="preserve">ULVR</t>
  </si>
  <si>
    <t xml:space="preserve">Unilever</t>
  </si>
  <si>
    <t xml:space="preserve">Consumer staples</t>
  </si>
  <si>
    <t xml:space="preserve">O39</t>
  </si>
  <si>
    <t xml:space="preserve">OCBC</t>
  </si>
  <si>
    <t xml:space="preserve">SG</t>
  </si>
  <si>
    <t xml:space="preserve">Watch</t>
  </si>
  <si>
    <t xml:space="preserve">Trend unresolved: wait for price to reclaim both averages.</t>
  </si>
  <si>
    <t xml:space="preserve">D05</t>
  </si>
  <si>
    <t xml:space="preserve">DBS</t>
  </si>
  <si>
    <t xml:space="preserve">ES3</t>
  </si>
  <si>
    <t xml:space="preserve">SPDR Straits Times Index ETF</t>
  </si>
  <si>
    <t xml:space="preserve">RIO</t>
  </si>
  <si>
    <t xml:space="preserve">Rio Tinto</t>
  </si>
  <si>
    <t xml:space="preserve">Materials</t>
  </si>
  <si>
    <t xml:space="preserve">HSBA</t>
  </si>
  <si>
    <t xml:space="preserve">HSBC</t>
  </si>
  <si>
    <t xml:space="preserve">857</t>
  </si>
  <si>
    <t xml:space="preserve">PetroChina H</t>
  </si>
  <si>
    <t xml:space="preserve">HK</t>
  </si>
  <si>
    <t xml:space="preserve">5</t>
  </si>
  <si>
    <t xml:space="preserve">HSBC (HK)</t>
  </si>
  <si>
    <t xml:space="preserve">SSE</t>
  </si>
  <si>
    <t xml:space="preserve">000333</t>
  </si>
  <si>
    <t xml:space="preserve">Midea</t>
  </si>
  <si>
    <t xml:space="preserve">Industrials</t>
  </si>
  <si>
    <t xml:space="preserve">DBA</t>
  </si>
  <si>
    <t xml:space="preserve">Invesco DB Agriculture Fund</t>
  </si>
  <si>
    <t xml:space="preserve">Agriculture</t>
  </si>
  <si>
    <t xml:space="preserve">ISF</t>
  </si>
  <si>
    <t xml:space="preserve">iShares Core FTSE 100 UCITS ETF</t>
  </si>
  <si>
    <t xml:space="preserve">S63</t>
  </si>
  <si>
    <t xml:space="preserve">ST Engineering</t>
  </si>
  <si>
    <t xml:space="preserve">XLB</t>
  </si>
  <si>
    <t xml:space="preserve">Materials Select Sector ETF</t>
  </si>
  <si>
    <t xml:space="preserve">RR.</t>
  </si>
  <si>
    <t xml:space="preserve">Rolls-Royce</t>
  </si>
  <si>
    <t xml:space="preserve">Aerospace</t>
  </si>
  <si>
    <t xml:space="preserve">LLOY</t>
  </si>
  <si>
    <t xml:space="preserve">Lloyds Banking Group</t>
  </si>
  <si>
    <t xml:space="preserve">JPM</t>
  </si>
  <si>
    <t xml:space="preserve">JPMorgan</t>
  </si>
  <si>
    <t xml:space="preserve">XLI</t>
  </si>
  <si>
    <t xml:space="preserve">Industrial Select Sector ETF</t>
  </si>
  <si>
    <t xml:space="preserve">XLF</t>
  </si>
  <si>
    <t xml:space="preserve">Financial Select Sector ETF</t>
  </si>
  <si>
    <t xml:space="preserve">Financials</t>
  </si>
  <si>
    <t xml:space="preserve">U11</t>
  </si>
  <si>
    <t xml:space="preserve">UOB</t>
  </si>
  <si>
    <t xml:space="preserve">AVGO</t>
  </si>
  <si>
    <t xml:space="preserve">Broadcom</t>
  </si>
  <si>
    <t xml:space="preserve">BARC</t>
  </si>
  <si>
    <t xml:space="preserve">Barclays</t>
  </si>
  <si>
    <t xml:space="preserve">UNG</t>
  </si>
  <si>
    <t xml:space="preserve">US Natural Gas Fund</t>
  </si>
  <si>
    <t xml:space="preserve">Natural gas</t>
  </si>
  <si>
    <t xml:space="preserve">LSEG</t>
  </si>
  <si>
    <t xml:space="preserve">London Stock Exchange Group</t>
  </si>
  <si>
    <t xml:space="preserve">Market infrastructure</t>
  </si>
  <si>
    <t xml:space="preserve">BA.</t>
  </si>
  <si>
    <t xml:space="preserve">BAE Systems</t>
  </si>
  <si>
    <t xml:space="preserve">Defence</t>
  </si>
  <si>
    <t xml:space="preserve">XLRE</t>
  </si>
  <si>
    <t xml:space="preserve">Real Estate Select Sector ETF</t>
  </si>
  <si>
    <t xml:space="preserve">Property</t>
  </si>
  <si>
    <t xml:space="preserve">823</t>
  </si>
  <si>
    <t xml:space="preserve">Link REIT</t>
  </si>
  <si>
    <t xml:space="preserve">AZN</t>
  </si>
  <si>
    <t xml:space="preserve">AstraZeneca</t>
  </si>
  <si>
    <t xml:space="preserve">C2PU</t>
  </si>
  <si>
    <t xml:space="preserve">Parkway Life REIT</t>
  </si>
  <si>
    <t xml:space="preserve">Healthcare REIT</t>
  </si>
  <si>
    <t xml:space="preserve">XLP</t>
  </si>
  <si>
    <t xml:space="preserve">Consumer Staples Select ETF</t>
  </si>
  <si>
    <t xml:space="preserve">Avoid</t>
  </si>
  <si>
    <t xml:space="preserve">Price below 10- and 40-week averages (down-trend): no new money until trend repairs.</t>
  </si>
  <si>
    <t xml:space="preserve">SLV</t>
  </si>
  <si>
    <t xml:space="preserve">iShares Silver Trust</t>
  </si>
  <si>
    <t xml:space="preserve">Silver</t>
  </si>
  <si>
    <t xml:space="preserve">GLD</t>
  </si>
  <si>
    <t xml:space="preserve">SPDR Gold Shares</t>
  </si>
  <si>
    <t xml:space="preserve">Gold</t>
  </si>
  <si>
    <t xml:space="preserve">601318</t>
  </si>
  <si>
    <t xml:space="preserve">Ping An A</t>
  </si>
  <si>
    <t xml:space="preserve">Insurance</t>
  </si>
  <si>
    <t xml:space="preserve">GSK</t>
  </si>
  <si>
    <t xml:space="preserve">NG.</t>
  </si>
  <si>
    <t xml:space="preserve">National Grid</t>
  </si>
  <si>
    <t xml:space="preserve">1299</t>
  </si>
  <si>
    <t xml:space="preserve">AIA</t>
  </si>
  <si>
    <t xml:space="preserve">Z74</t>
  </si>
  <si>
    <t xml:space="preserve">Singtel</t>
  </si>
  <si>
    <t xml:space="preserve">Telecom</t>
  </si>
  <si>
    <t xml:space="preserve">XLC</t>
  </si>
  <si>
    <t xml:space="preserve">Communication Services Select ETF</t>
  </si>
  <si>
    <t xml:space="preserve">CJLU</t>
  </si>
  <si>
    <t xml:space="preserve">NetLink NBN Trust</t>
  </si>
  <si>
    <t xml:space="preserve">Business trust</t>
  </si>
  <si>
    <t xml:space="preserve">600519</t>
  </si>
  <si>
    <t xml:space="preserve">Kweichow Moutai</t>
  </si>
  <si>
    <t xml:space="preserve">941</t>
  </si>
  <si>
    <t xml:space="preserve">China Mobile</t>
  </si>
  <si>
    <t xml:space="preserve">XLY</t>
  </si>
  <si>
    <t xml:space="preserve">Consumer Discretionary Select ETF</t>
  </si>
  <si>
    <t xml:space="preserve">Consumer discretionary</t>
  </si>
  <si>
    <t xml:space="preserve">2800</t>
  </si>
  <si>
    <t xml:space="preserve">Tracker Fund of Hong Kong (HSI)</t>
  </si>
  <si>
    <t xml:space="preserve">3188</t>
  </si>
  <si>
    <t xml:space="preserve">ChinaAMC CSI 300 Index ETF</t>
  </si>
  <si>
    <t xml:space="preserve">Broad A-share market</t>
  </si>
  <si>
    <t xml:space="preserve">ORCL</t>
  </si>
  <si>
    <t xml:space="preserve">Oracle</t>
  </si>
  <si>
    <t xml:space="preserve">9988</t>
  </si>
  <si>
    <t xml:space="preserve">Alibaba</t>
  </si>
  <si>
    <t xml:space="preserve">Consumer platforms</t>
  </si>
  <si>
    <t xml:space="preserve">388</t>
  </si>
  <si>
    <t xml:space="preserve">HKEX</t>
  </si>
  <si>
    <t xml:space="preserve">3690</t>
  </si>
  <si>
    <t xml:space="preserve">Meituan</t>
  </si>
  <si>
    <t xml:space="preserve">C38U</t>
  </si>
  <si>
    <t xml:space="preserve">CapitaLand Integrated Commercial Trust</t>
  </si>
  <si>
    <t xml:space="preserve">Commercial REIT</t>
  </si>
  <si>
    <t xml:space="preserve">XLU</t>
  </si>
  <si>
    <t xml:space="preserve">Utilities Select Sector ETF</t>
  </si>
  <si>
    <t xml:space="preserve">300750</t>
  </si>
  <si>
    <t xml:space="preserve">CATL</t>
  </si>
  <si>
    <t xml:space="preserve">Battery / industrial</t>
  </si>
  <si>
    <t xml:space="preserve">1211</t>
  </si>
  <si>
    <t xml:space="preserve">BYD H</t>
  </si>
  <si>
    <t xml:space="preserve">Autos</t>
  </si>
  <si>
    <t xml:space="preserve">AJBU</t>
  </si>
  <si>
    <t xml:space="preserve">Keppel DC REIT</t>
  </si>
  <si>
    <t xml:space="preserve">Data-centre REIT</t>
  </si>
  <si>
    <t xml:space="preserve">700</t>
  </si>
  <si>
    <t xml:space="preserve">Tencent</t>
  </si>
  <si>
    <t xml:space="preserve">M44U</t>
  </si>
  <si>
    <t xml:space="preserve">Mapletree Logistics Trust</t>
  </si>
  <si>
    <t xml:space="preserve">Logistics REIT</t>
  </si>
  <si>
    <t xml:space="preserve">ME8U</t>
  </si>
  <si>
    <t xml:space="preserve">Mapletree Industrial Trust</t>
  </si>
  <si>
    <t xml:space="preserve">Industrial REIT</t>
  </si>
  <si>
    <t xml:space="preserve">J69U</t>
  </si>
  <si>
    <t xml:space="preserve">Frasers Centrepoint Trust</t>
  </si>
  <si>
    <t xml:space="preserve">Retail REIT</t>
  </si>
  <si>
    <t xml:space="preserve">N2IU</t>
  </si>
  <si>
    <t xml:space="preserve">Mapletree Pan Asia Commercial Trust</t>
  </si>
  <si>
    <t xml:space="preserve">A17U</t>
  </si>
  <si>
    <t xml:space="preserve">CapitaLand Ascendas REIT</t>
  </si>
  <si>
    <t xml:space="preserve">Totals</t>
  </si>
  <si>
    <t xml:space="preserve">Accumulate weight</t>
  </si>
  <si>
    <t xml:space="preserve">Prices in each instrument's quote currency (London in GBP, HK in HKD, China A in CNY, SG in SGD). Amounts are in your base currency: convert before ordering.</t>
  </si>
  <si>
    <t xml:space="preserve">Price (SGD)</t>
  </si>
  <si>
    <t xml:space="preserve">Trailing cash (SGD)</t>
  </si>
  <si>
    <t xml:space="preserve">Trailing yield</t>
  </si>
  <si>
    <t xml:space="preserve">Fit</t>
  </si>
  <si>
    <t xml:space="preserve">Price for 6%</t>
  </si>
  <si>
    <t xml:space="preserve">Price for 7%</t>
  </si>
  <si>
    <t xml:space="preserve">Price for 8%</t>
  </si>
  <si>
    <t xml:space="preserve">Yield if cut 20%</t>
  </si>
  <si>
    <t xml:space="preserve">1y price</t>
  </si>
  <si>
    <t xml:space="preserve">Income decision</t>
  </si>
  <si>
    <t xml:space="preserve">Plan</t>
  </si>
  <si>
    <t xml:space="preserve">Yield in target band but price in down-trend: stage in thirds (now, at 1.793 for 7% yield, and after trend repair).</t>
  </si>
  <si>
    <t xml:space="preserve">Yield in target band but price in down-trend: stage in thirds (now, at 2.144 for 7% yield, and after trend repair).</t>
  </si>
  <si>
    <t xml:space="preserve">Yield in target band but price in down-trend: stage in thirds (now, at 1.038 for 7% yield, and after trend repair).</t>
  </si>
  <si>
    <t xml:space="preserve">Yield in target band but price in down-trend: stage in thirds (now, at 1.131 for 7% yield, and after trend repair).</t>
  </si>
  <si>
    <t xml:space="preserve">Yield in target band but price in down-trend: stage in thirds (now, at 1.889 for 7% yield, and after trend repair).</t>
  </si>
  <si>
    <t xml:space="preserve">Yield 5.84% below band; would reach 6% at 2.016.</t>
  </si>
  <si>
    <t xml:space="preserve">Yield 5.68% below band; would reach 6% at 0.903.</t>
  </si>
  <si>
    <t xml:space="preserve">Yield 4.75% below band; would reach 6% at 1.772.</t>
  </si>
  <si>
    <t xml:space="preserve">Yield 4.36% below band; would reach 6% at 3.083.</t>
  </si>
  <si>
    <t xml:space="preserve">Yield 4.33% below band; would reach 6% at 53.000.</t>
  </si>
  <si>
    <t xml:space="preserve">Yield 4.12% below band; would reach 6% at 2.735.</t>
  </si>
  <si>
    <t xml:space="preserve">Yield 3.98% below band; would reach 6% at 26.500.</t>
  </si>
  <si>
    <t xml:space="preserve">Yield 3.62% below band; would reach 6% at 17.500.</t>
  </si>
  <si>
    <t xml:space="preserve">Yield 2.30% below band; would reach 6% at 4.000.</t>
  </si>
  <si>
    <t xml:space="preserve">Trailing cash = distributions with ex-date in the 365 days to the as-of date, from IBKR corporate actions, cross-checked to IBKR dividend yield.</t>
  </si>
  <si>
    <t xml:space="preserve">Pair</t>
  </si>
  <si>
    <t xml:space="preserve">Trend</t>
  </si>
  <si>
    <t xml:space="preserve">Read</t>
  </si>
  <si>
    <t xml:space="preserve">3m change</t>
  </si>
  <si>
    <t xml:space="preserve">GBP/USD</t>
  </si>
  <si>
    <t xml:space="preserve">mixed</t>
  </si>
  <si>
    <t xml:space="preserve">No clear trend</t>
  </si>
  <si>
    <t xml:space="preserve">EUR/USD</t>
  </si>
  <si>
    <t xml:space="preserve">down</t>
  </si>
  <si>
    <t xml:space="preserve">EUR weakening vs USD</t>
  </si>
  <si>
    <t xml:space="preserve">EUR/GBP</t>
  </si>
  <si>
    <t xml:space="preserve">EUR weakening vs GBP</t>
  </si>
  <si>
    <t xml:space="preserve">USD/JPY</t>
  </si>
  <si>
    <t xml:space="preserve">USD/SGD</t>
  </si>
  <si>
    <t xml:space="preserve">USD/HKD</t>
  </si>
  <si>
    <t xml:space="preserve">up</t>
  </si>
  <si>
    <t xml:space="preserve">USD strengthening vs HKD</t>
  </si>
  <si>
    <t xml:space="preserve">USD/CNH</t>
  </si>
  <si>
    <t xml:space="preserve">USD weakening vs CNH</t>
  </si>
  <si>
    <t xml:space="preserve">AUD/USD</t>
  </si>
  <si>
    <t xml:space="preserve">USD/CHF</t>
  </si>
  <si>
    <t xml:space="preserve">USD strengthening vs CHF</t>
  </si>
  <si>
    <t xml:space="preserve">Underlying</t>
  </si>
  <si>
    <t xml:space="preserve">Structure</t>
  </si>
  <si>
    <t xml:space="preserve">Legs</t>
  </si>
  <si>
    <t xml:space="preserve">Expiry</t>
  </si>
  <si>
    <t xml:space="preserve">Days</t>
  </si>
  <si>
    <t xml:space="preserve">Spot</t>
  </si>
  <si>
    <t xml:space="preserve">Debit / share</t>
  </si>
  <si>
    <t xml:space="preserve">Cost per contract</t>
  </si>
  <si>
    <t xml:space="preserve">Breakeven</t>
  </si>
  <si>
    <t xml:space="preserve">Move to breakeven</t>
  </si>
  <si>
    <t xml:space="preserve">Max gain / share</t>
  </si>
  <si>
    <t xml:space="preserve">Reward : risk</t>
  </si>
  <si>
    <t xml:space="preserve">Prob. of profit</t>
  </si>
  <si>
    <t xml:space="preserve">IV</t>
  </si>
  <si>
    <t xml:space="preserve">Contracts (per-trade budget)</t>
  </si>
  <si>
    <t xml:space="preserve">Premium at risk</t>
  </si>
  <si>
    <t xml:space="preserve">Stop: close at value</t>
  </si>
  <si>
    <t xml:space="preserve">Bull call spread</t>
  </si>
  <si>
    <t xml:space="preserve">Buy 170C / Sell 185C</t>
  </si>
  <si>
    <t xml:space="preserve">2026-12-18</t>
  </si>
  <si>
    <t xml:space="preserve">Bear put spread</t>
  </si>
  <si>
    <t xml:space="preserve">Buy 385P / Sell 345P</t>
  </si>
  <si>
    <t xml:space="preserve">Buy 350C / Sell 385C</t>
  </si>
  <si>
    <t xml:space="preserve">Buy 335C / Sell 370C</t>
  </si>
  <si>
    <t xml:space="preserve">Buy 140P / Sell 125P</t>
  </si>
  <si>
    <t xml:space="preserve">Buy 230C / Sell 250C</t>
  </si>
  <si>
    <t xml:space="preserve">Buy 751C / Sell 825C</t>
  </si>
  <si>
    <t xml:space="preserve">Buy 779C / Sell 855C</t>
  </si>
  <si>
    <t xml:space="preserve">Long put</t>
  </si>
  <si>
    <t xml:space="preserve">Buy 135P</t>
  </si>
  <si>
    <t xml:space="preserve">Long call</t>
  </si>
  <si>
    <t xml:space="preserve">Buy 175C</t>
  </si>
  <si>
    <t xml:space="preserve">Buy 240C</t>
  </si>
  <si>
    <t xml:space="preserve">Buy 370C</t>
  </si>
  <si>
    <t xml:space="preserve">Buy 365P</t>
  </si>
  <si>
    <t xml:space="preserve">Buy 355C</t>
  </si>
  <si>
    <t xml:space="preserve">Buy 789C</t>
  </si>
  <si>
    <t xml:space="preserve">Buy 817C</t>
  </si>
  <si>
    <t xml:space="preserve">Sleeve check</t>
  </si>
  <si>
    <t xml:space="preserve">Total if all taken</t>
  </si>
  <si>
    <t xml:space="preserve">Sleeve cap</t>
  </si>
  <si>
    <t xml:space="preserve">Within cap?</t>
  </si>
  <si>
    <t xml:space="preserve">Probability of profit is risk-neutral, from the option's implied volatility. Debits are mid prices from IBKR weekend quotes; re-price live before trading. Defined risk only: maximum loss = premium paid.</t>
  </si>
  <si>
    <t xml:space="preserve">Date</t>
  </si>
  <si>
    <t xml:space="preserve">Price</t>
  </si>
  <si>
    <t xml:space="preserve">Weight</t>
  </si>
  <si>
    <t xml:space="preserve">Assumption (must be true)</t>
  </si>
  <si>
    <t xml:space="preserve">Strongest counter-case</t>
  </si>
  <si>
    <t xml:space="preserve">Pre-mortem: top reason it fails</t>
  </si>
  <si>
    <t xml:space="preserve">Review date</t>
  </si>
  <si>
    <t xml:space="preserve">Outcome (fill at review)</t>
  </si>
  <si>
    <t xml:space="preserve">2026-10-12</t>
  </si>
  <si>
    <t xml:space="preserve">Oil stays in up-trend through Q1 2027</t>
  </si>
  <si>
    <t xml:space="preserve">OPEC supply increase reverses oil</t>
  </si>
  <si>
    <t xml:space="preserve">Demand slowdown cuts oil 20%</t>
  </si>
  <si>
    <t xml:space="preserve">2026-12-12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</si>
</sst>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%"/>
    <numFmt numFmtId="167" formatCode="0.0%"/>
    <numFmt numFmtId="168" formatCode="#,##0.00"/>
    <numFmt numFmtId="169" formatCode="0.0%;\(0.0%\);\-"/>
    <numFmt numFmtId="170" formatCode="0.00"/>
    <numFmt numFmtId="171" formatCode="0.000"/>
    <numFmt numFmtId="172" formatCode="0.0000"/>
    <numFmt numFmtId="173" formatCode="0.00%"/>
    <numFmt numFmtId="174" formatCode="0.0\x"/>
    <numFmt numFmtId="17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color rgb="FF5B6673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i val="true"/>
      <sz val="10"/>
      <color rgb="FF5B667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D5C8A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3F1E8"/>
        <bgColor rgb="FFD9DEE5"/>
      </patternFill>
    </fill>
    <fill>
      <patternFill patternType="solid">
        <fgColor rgb="FFFFFFFF"/>
        <bgColor rgb="FFFFF4D6"/>
      </patternFill>
    </fill>
    <fill>
      <patternFill patternType="solid">
        <fgColor rgb="FFFFF4D6"/>
        <bgColor rgb="FFF9E1DF"/>
      </patternFill>
    </fill>
    <fill>
      <patternFill patternType="solid">
        <fgColor rgb="FFF9E1DF"/>
        <bgColor rgb="FFFFF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D5C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3F1E8"/>
          <bgColor rgb="FF000000"/>
        </patternFill>
      </fill>
    </dxf>
    <dxf>
      <fill>
        <patternFill patternType="solid">
          <fgColor rgb="FFF9E1DF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3F1E8"/>
      <rgbColor rgb="FF660066"/>
      <rgbColor rgb="FFFF8080"/>
      <rgbColor rgb="FF1D5C8A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9E1DF"/>
      <rgbColor rgb="FF3366FF"/>
      <rgbColor rgb="FF33CCCC"/>
      <rgbColor rgb="FF99CC00"/>
      <rgbColor rgb="FFFFCC00"/>
      <rgbColor rgb="FFFF9900"/>
      <rgbColor rgb="FFFF6600"/>
      <rgbColor rgb="FF5B667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5" t="s">
        <v>13</v>
      </c>
      <c r="B1" s="5" t="s">
        <v>14</v>
      </c>
      <c r="C1" s="5" t="s">
        <v>15</v>
      </c>
    </row>
    <row r="2" customFormat="false" ht="15" hidden="false" customHeight="false" outlineLevel="0" collapsed="false">
      <c r="A2" s="4" t="s">
        <v>16</v>
      </c>
      <c r="B2" s="6" t="n">
        <v>1000000</v>
      </c>
      <c r="C2" s="2" t="s">
        <v>17</v>
      </c>
    </row>
    <row r="3" customFormat="false" ht="15" hidden="false" customHeight="false" outlineLevel="0" collapsed="false">
      <c r="A3" s="4" t="s">
        <v>18</v>
      </c>
      <c r="B3" s="7" t="n">
        <v>1</v>
      </c>
      <c r="C3" s="2" t="s">
        <v>19</v>
      </c>
    </row>
    <row r="4" customFormat="false" ht="15" hidden="false" customHeight="false" outlineLevel="0" collapsed="false">
      <c r="A4" s="4" t="s">
        <v>20</v>
      </c>
      <c r="B4" s="8" t="n">
        <v>0.005</v>
      </c>
      <c r="C4" s="2" t="s">
        <v>21</v>
      </c>
    </row>
    <row r="5" customFormat="false" ht="15" hidden="false" customHeight="false" outlineLevel="0" collapsed="false">
      <c r="A5" s="4" t="s">
        <v>22</v>
      </c>
      <c r="B5" s="8" t="n">
        <v>0.08</v>
      </c>
      <c r="C5" s="2" t="s">
        <v>23</v>
      </c>
    </row>
    <row r="6" customFormat="false" ht="15" hidden="false" customHeight="false" outlineLevel="0" collapsed="false">
      <c r="A6" s="4" t="s">
        <v>24</v>
      </c>
      <c r="B6" s="8" t="n">
        <v>0.2</v>
      </c>
      <c r="C6" s="2" t="s">
        <v>25</v>
      </c>
    </row>
    <row r="7" customFormat="false" ht="15" hidden="false" customHeight="false" outlineLevel="0" collapsed="false">
      <c r="A7" s="4" t="s">
        <v>26</v>
      </c>
      <c r="B7" s="8" t="n">
        <v>0.03</v>
      </c>
      <c r="C7" s="2" t="s">
        <v>27</v>
      </c>
    </row>
    <row r="8" customFormat="false" ht="15" hidden="false" customHeight="false" outlineLevel="0" collapsed="false">
      <c r="A8" s="4" t="s">
        <v>28</v>
      </c>
      <c r="B8" s="8" t="n">
        <v>0.06</v>
      </c>
      <c r="C8" s="2" t="s">
        <v>29</v>
      </c>
    </row>
    <row r="9" customFormat="false" ht="15" hidden="false" customHeight="false" outlineLevel="0" collapsed="false">
      <c r="A9" s="4" t="s">
        <v>30</v>
      </c>
      <c r="B9" s="8" t="n">
        <v>0.08</v>
      </c>
      <c r="C9" s="2" t="s">
        <v>31</v>
      </c>
    </row>
    <row r="10" customFormat="false" ht="15" hidden="false" customHeight="false" outlineLevel="0" collapsed="false">
      <c r="A10" s="4" t="s">
        <v>32</v>
      </c>
      <c r="B10" s="8" t="n">
        <v>0.05</v>
      </c>
      <c r="C10" s="2" t="s">
        <v>33</v>
      </c>
    </row>
    <row r="11" customFormat="false" ht="15" hidden="false" customHeight="false" outlineLevel="0" collapsed="false">
      <c r="A11" s="4" t="s">
        <v>34</v>
      </c>
      <c r="B11" s="8" t="n">
        <v>0.01</v>
      </c>
      <c r="C11" s="2" t="s">
        <v>35</v>
      </c>
    </row>
    <row r="13" customFormat="false" ht="15" hidden="false" customHeight="false" outlineLevel="0" collapsed="false">
      <c r="A13" s="9" t="s">
        <v>36</v>
      </c>
    </row>
    <row r="14" customFormat="false" ht="15" hidden="false" customHeight="false" outlineLevel="0" collapsed="false">
      <c r="A14" s="4" t="s">
        <v>37</v>
      </c>
      <c r="C14" s="2" t="s">
        <v>38</v>
      </c>
    </row>
    <row r="15" customFormat="false" ht="15" hidden="false" customHeight="false" outlineLevel="0" collapsed="false">
      <c r="A15" s="4" t="s">
        <v>39</v>
      </c>
      <c r="C15" s="2" t="s">
        <v>40</v>
      </c>
    </row>
    <row r="16" customFormat="false" ht="15" hidden="false" customHeight="false" outlineLevel="0" collapsed="false">
      <c r="A16" s="4" t="s">
        <v>41</v>
      </c>
      <c r="C16" s="2" t="s">
        <v>42</v>
      </c>
    </row>
    <row r="17" customFormat="false" ht="15" hidden="false" customHeight="false" outlineLevel="0" collapsed="false">
      <c r="A17" s="4" t="s">
        <v>43</v>
      </c>
      <c r="C17" s="2" t="s">
        <v>44</v>
      </c>
    </row>
    <row r="18" customFormat="false" ht="15" hidden="false" customHeight="false" outlineLevel="0" collapsed="false">
      <c r="A18" s="4" t="s">
        <v>45</v>
      </c>
      <c r="C18" s="2" t="s">
        <v>46</v>
      </c>
    </row>
    <row r="19" customFormat="false" ht="15" hidden="false" customHeight="false" outlineLevel="0" collapsed="false">
      <c r="A19" s="4" t="s">
        <v>47</v>
      </c>
      <c r="C19" s="2" t="s">
        <v>48</v>
      </c>
    </row>
    <row r="20" customFormat="false" ht="15" hidden="false" customHeight="false" outlineLevel="0" collapsed="false">
      <c r="A20" s="4" t="s">
        <v>49</v>
      </c>
      <c r="C20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60"/>
    <col collapsed="false" customWidth="true" hidden="false" outlineLevel="0" max="8" min="8" style="0" width="11"/>
    <col collapsed="false" customWidth="true" hidden="false" outlineLevel="0" max="11" min="9" style="0" width="12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5" min="14" style="0" width="11"/>
    <col collapsed="false" customWidth="true" hidden="false" outlineLevel="0" max="16" min="16" style="0" width="13"/>
    <col collapsed="false" customWidth="true" hidden="false" outlineLevel="0" max="19" min="17" style="0" width="10"/>
  </cols>
  <sheetData>
    <row r="1" customFormat="false" ht="23.85" hidden="false" customHeight="false" outlineLevel="0" collapsed="false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  <c r="N1" s="5" t="s">
        <v>64</v>
      </c>
      <c r="O1" s="5" t="s">
        <v>65</v>
      </c>
      <c r="P1" s="5" t="s">
        <v>66</v>
      </c>
      <c r="Q1" s="5" t="s">
        <v>67</v>
      </c>
      <c r="R1" s="5" t="s">
        <v>68</v>
      </c>
      <c r="S1" s="5" t="s">
        <v>69</v>
      </c>
    </row>
    <row r="2" customFormat="false" ht="15" hidden="false" customHeight="false" outlineLevel="0" collapsed="false">
      <c r="A2" s="10" t="s">
        <v>70</v>
      </c>
      <c r="B2" s="10" t="s">
        <v>71</v>
      </c>
      <c r="C2" s="10" t="s">
        <v>72</v>
      </c>
      <c r="D2" s="10" t="s">
        <v>73</v>
      </c>
      <c r="E2" s="10" t="s">
        <v>74</v>
      </c>
      <c r="F2" s="11" t="s">
        <v>75</v>
      </c>
      <c r="G2" s="12" t="s">
        <v>76</v>
      </c>
      <c r="H2" s="13" t="n">
        <v>65.08</v>
      </c>
      <c r="I2" s="13" t="n">
        <v>62.918</v>
      </c>
      <c r="J2" s="13" t="n">
        <v>65.08</v>
      </c>
      <c r="K2" s="13" t="n">
        <v>57.3121951219512</v>
      </c>
      <c r="L2" s="14" t="n">
        <f aca="false">IF(K2="","",K2*(1-Policy!$B$7))</f>
        <v>55.5928292682927</v>
      </c>
      <c r="M2" s="14"/>
      <c r="N2" s="15" t="n">
        <f aca="false">IF(L2="","",H2/L2-1)</f>
        <v>0.170654576436863</v>
      </c>
      <c r="O2" s="15" t="n">
        <f aca="false">IF(AND(F2="Accumulate",N2&lt;&gt;"",N2&gt;0),MIN(Policy!$B$4/N2,IF(E2="Stock",Policy!$B$5,Policy!$B$6)),"")</f>
        <v>0.0292989505725319</v>
      </c>
      <c r="P2" s="16" t="n">
        <f aca="false">IF(O2="","",O2*Policy!$B$3*Policy!$B$2)</f>
        <v>29298.9505725319</v>
      </c>
      <c r="Q2" s="17" t="n">
        <v>0.181554103122731</v>
      </c>
      <c r="R2" s="17" t="n">
        <v>0.513840428006513</v>
      </c>
      <c r="S2" s="18" t="n">
        <v>1.51137047201472</v>
      </c>
    </row>
    <row r="3" customFormat="false" ht="15" hidden="false" customHeight="false" outlineLevel="0" collapsed="false">
      <c r="A3" s="10" t="s">
        <v>77</v>
      </c>
      <c r="B3" s="10" t="s">
        <v>78</v>
      </c>
      <c r="C3" s="10" t="s">
        <v>79</v>
      </c>
      <c r="D3" s="10" t="s">
        <v>73</v>
      </c>
      <c r="E3" s="10" t="s">
        <v>80</v>
      </c>
      <c r="F3" s="11" t="s">
        <v>75</v>
      </c>
      <c r="G3" s="12" t="s">
        <v>76</v>
      </c>
      <c r="H3" s="13" t="n">
        <v>37.954</v>
      </c>
      <c r="I3" s="13" t="n">
        <v>34.869</v>
      </c>
      <c r="J3" s="13" t="n">
        <v>37.954</v>
      </c>
      <c r="K3" s="13" t="n">
        <v>31.977512195122</v>
      </c>
      <c r="L3" s="14" t="n">
        <f aca="false">IF(K3="","",K3*(1-Policy!$B$7))</f>
        <v>31.0181868292683</v>
      </c>
      <c r="M3" s="14"/>
      <c r="N3" s="15" t="n">
        <f aca="false">IF(L3="","",H3/L3-1)</f>
        <v>0.223604726121102</v>
      </c>
      <c r="O3" s="15" t="n">
        <f aca="false">IF(AND(F3="Accumulate",N3&lt;&gt;"",N3&gt;0),MIN(Policy!$B$4/N3,IF(E3="Stock",Policy!$B$5,Policy!$B$6)),"")</f>
        <v>0.0223608869398049</v>
      </c>
      <c r="P3" s="16" t="n">
        <f aca="false">IF(O3="","",O3*Policy!$B$3*Policy!$B$2)</f>
        <v>22360.8869398049</v>
      </c>
      <c r="Q3" s="17" t="n">
        <v>0.248322589133009</v>
      </c>
      <c r="R3" s="17" t="n">
        <v>0.409671668399941</v>
      </c>
      <c r="S3" s="18" t="n">
        <v>1.41291302176624</v>
      </c>
    </row>
    <row r="4" customFormat="false" ht="15" hidden="false" customHeight="false" outlineLevel="0" collapsed="false">
      <c r="A4" s="10" t="s">
        <v>81</v>
      </c>
      <c r="B4" s="10" t="s">
        <v>82</v>
      </c>
      <c r="C4" s="10" t="s">
        <v>72</v>
      </c>
      <c r="D4" s="10" t="s">
        <v>73</v>
      </c>
      <c r="E4" s="10" t="s">
        <v>80</v>
      </c>
      <c r="F4" s="11" t="s">
        <v>75</v>
      </c>
      <c r="G4" s="12" t="s">
        <v>76</v>
      </c>
      <c r="H4" s="13" t="n">
        <v>168.94</v>
      </c>
      <c r="I4" s="13" t="n">
        <v>161.75</v>
      </c>
      <c r="J4" s="13" t="n">
        <v>168.94</v>
      </c>
      <c r="K4" s="13" t="n">
        <v>150.664634146341</v>
      </c>
      <c r="L4" s="14" t="n">
        <f aca="false">IF(K4="","",K4*(1-Policy!$B$7))</f>
        <v>146.144695121951</v>
      </c>
      <c r="M4" s="14"/>
      <c r="N4" s="15" t="n">
        <f aca="false">IF(L4="","",H4/L4-1)</f>
        <v>0.15597764160394</v>
      </c>
      <c r="O4" s="15" t="n">
        <f aca="false">IF(AND(F4="Accumulate",N4&lt;&gt;"",N4&gt;0),MIN(Policy!$B$4/N4,IF(E4="Stock",Policy!$B$5,Policy!$B$6)),"")</f>
        <v>0.0320558763973111</v>
      </c>
      <c r="P4" s="16" t="n">
        <f aca="false">IF(O4="","",O4*Policy!$B$3*Policy!$B$2)</f>
        <v>32055.8763973111</v>
      </c>
      <c r="Q4" s="17" t="n">
        <v>0.216445852534562</v>
      </c>
      <c r="R4" s="17" t="n">
        <v>0.505167498218104</v>
      </c>
      <c r="S4" s="18" t="n">
        <v>1.38687967499644</v>
      </c>
    </row>
    <row r="5" customFormat="false" ht="15" hidden="false" customHeight="false" outlineLevel="0" collapsed="false">
      <c r="A5" s="10" t="s">
        <v>83</v>
      </c>
      <c r="B5" s="10" t="s">
        <v>84</v>
      </c>
      <c r="C5" s="10" t="s">
        <v>85</v>
      </c>
      <c r="D5" s="10" t="s">
        <v>86</v>
      </c>
      <c r="E5" s="10" t="s">
        <v>74</v>
      </c>
      <c r="F5" s="11" t="s">
        <v>75</v>
      </c>
      <c r="G5" s="12" t="s">
        <v>76</v>
      </c>
      <c r="H5" s="13" t="n">
        <v>40.31</v>
      </c>
      <c r="I5" s="13" t="n">
        <v>39.937</v>
      </c>
      <c r="J5" s="13" t="n">
        <v>40.31</v>
      </c>
      <c r="K5" s="13" t="n">
        <v>37.5685365853659</v>
      </c>
      <c r="L5" s="14" t="n">
        <f aca="false">IF(K5="","",K5*(1-Policy!$B$7))</f>
        <v>36.4414804878049</v>
      </c>
      <c r="M5" s="14"/>
      <c r="N5" s="15" t="n">
        <f aca="false">IF(L5="","",H5/L5-1)</f>
        <v>0.106157034796918</v>
      </c>
      <c r="O5" s="15" t="n">
        <f aca="false">IF(AND(F5="Accumulate",N5&lt;&gt;"",N5&gt;0),MIN(Policy!$B$4/N5,IF(E5="Stock",Policy!$B$5,Policy!$B$6)),"")</f>
        <v>0.0471000344872591</v>
      </c>
      <c r="P5" s="16" t="n">
        <f aca="false">IF(O5="","",O5*Policy!$B$3*Policy!$B$2)</f>
        <v>47100.0344872591</v>
      </c>
      <c r="Q5" s="17" t="n">
        <v>0.0610687022900764</v>
      </c>
      <c r="R5" s="17" t="n">
        <v>0.331681532870829</v>
      </c>
      <c r="S5" s="18" t="n">
        <v>1.03887131077321</v>
      </c>
    </row>
    <row r="6" customFormat="false" ht="15" hidden="false" customHeight="false" outlineLevel="0" collapsed="false">
      <c r="A6" s="10" t="s">
        <v>87</v>
      </c>
      <c r="B6" s="10" t="s">
        <v>88</v>
      </c>
      <c r="C6" s="10" t="s">
        <v>72</v>
      </c>
      <c r="D6" s="10" t="s">
        <v>89</v>
      </c>
      <c r="E6" s="10" t="s">
        <v>74</v>
      </c>
      <c r="F6" s="11" t="s">
        <v>75</v>
      </c>
      <c r="G6" s="12" t="s">
        <v>76</v>
      </c>
      <c r="H6" s="13" t="n">
        <v>198.78</v>
      </c>
      <c r="I6" s="13" t="n">
        <v>190.639</v>
      </c>
      <c r="J6" s="13" t="n">
        <v>198.78</v>
      </c>
      <c r="K6" s="13" t="n">
        <v>166.832682926829</v>
      </c>
      <c r="L6" s="14" t="n">
        <f aca="false">IF(K6="","",K6*(1-Policy!$B$7))</f>
        <v>161.827702439024</v>
      </c>
      <c r="M6" s="14"/>
      <c r="N6" s="15" t="n">
        <f aca="false">IF(L6="","",H6/L6-1)</f>
        <v>0.22834346038435</v>
      </c>
      <c r="O6" s="15" t="n">
        <f aca="false">IF(AND(F6="Accumulate",N6&lt;&gt;"",N6&gt;0),MIN(Policy!$B$4/N6,IF(E6="Stock",Policy!$B$5,Policy!$B$6)),"")</f>
        <v>0.0218968390493161</v>
      </c>
      <c r="P6" s="16" t="n">
        <f aca="false">IF(O6="","",O6*Policy!$B$3*Policy!$B$2)</f>
        <v>21896.8390493161</v>
      </c>
      <c r="Q6" s="17" t="n">
        <v>0.0699752395306277</v>
      </c>
      <c r="R6" s="17" t="n">
        <v>0.39489842461668</v>
      </c>
      <c r="S6" s="18" t="n">
        <v>0.978126317423683</v>
      </c>
    </row>
    <row r="7" customFormat="false" ht="15" hidden="false" customHeight="false" outlineLevel="0" collapsed="false">
      <c r="A7" s="10" t="s">
        <v>90</v>
      </c>
      <c r="B7" s="10" t="s">
        <v>91</v>
      </c>
      <c r="C7" s="10" t="s">
        <v>72</v>
      </c>
      <c r="D7" s="10" t="s">
        <v>92</v>
      </c>
      <c r="E7" s="10" t="s">
        <v>74</v>
      </c>
      <c r="F7" s="11" t="s">
        <v>75</v>
      </c>
      <c r="G7" s="12" t="s">
        <v>76</v>
      </c>
      <c r="H7" s="13" t="n">
        <v>778.57</v>
      </c>
      <c r="I7" s="13" t="n">
        <v>770.04</v>
      </c>
      <c r="J7" s="13" t="n">
        <v>778.57</v>
      </c>
      <c r="K7" s="13" t="n">
        <v>723.379512195122</v>
      </c>
      <c r="L7" s="14" t="n">
        <f aca="false">IF(K7="","",K7*(1-Policy!$B$7))</f>
        <v>701.678126829268</v>
      </c>
      <c r="M7" s="14"/>
      <c r="N7" s="15" t="n">
        <f aca="false">IF(L7="","",H7/L7-1)</f>
        <v>0.109582827553981</v>
      </c>
      <c r="O7" s="15" t="n">
        <f aca="false">IF(AND(F7="Accumulate",N7&lt;&gt;"",N7&gt;0),MIN(Policy!$B$4/N7,IF(E7="Stock",Policy!$B$5,Policy!$B$6)),"")</f>
        <v>0.0456275870189332</v>
      </c>
      <c r="P7" s="16" t="n">
        <f aca="false">IF(O7="","",O7*Policy!$B$3*Policy!$B$2)</f>
        <v>45627.5870189332</v>
      </c>
      <c r="Q7" s="17" t="n">
        <v>0.0312868401880919</v>
      </c>
      <c r="R7" s="17" t="n">
        <v>0.192260573948731</v>
      </c>
      <c r="S7" s="18" t="n">
        <v>0.928004262194192</v>
      </c>
    </row>
    <row r="8" customFormat="false" ht="15" hidden="false" customHeight="false" outlineLevel="0" collapsed="false">
      <c r="A8" s="10" t="s">
        <v>93</v>
      </c>
      <c r="B8" s="10" t="s">
        <v>94</v>
      </c>
      <c r="C8" s="10" t="s">
        <v>72</v>
      </c>
      <c r="D8" s="10" t="s">
        <v>95</v>
      </c>
      <c r="E8" s="10" t="s">
        <v>80</v>
      </c>
      <c r="F8" s="11" t="s">
        <v>75</v>
      </c>
      <c r="G8" s="12" t="s">
        <v>76</v>
      </c>
      <c r="H8" s="13" t="n">
        <v>336.64</v>
      </c>
      <c r="I8" s="13" t="n">
        <v>324.808</v>
      </c>
      <c r="J8" s="13" t="n">
        <v>336.64</v>
      </c>
      <c r="K8" s="13" t="n">
        <v>291.236097560976</v>
      </c>
      <c r="L8" s="14" t="n">
        <f aca="false">IF(K8="","",K8*(1-Policy!$B$7))</f>
        <v>282.499014634146</v>
      </c>
      <c r="M8" s="14"/>
      <c r="N8" s="15" t="n">
        <f aca="false">IF(L8="","",H8/L8-1)</f>
        <v>0.191650174199615</v>
      </c>
      <c r="O8" s="15" t="n">
        <f aca="false">IF(AND(F8="Accumulate",N8&lt;&gt;"",N8&gt;0),MIN(Policy!$B$4/N8,IF(E8="Stock",Policy!$B$5,Policy!$B$6)),"")</f>
        <v>0.0260892014363223</v>
      </c>
      <c r="P8" s="16" t="n">
        <f aca="false">IF(O8="","",O8*Policy!$B$3*Policy!$B$2)</f>
        <v>26089.2014363223</v>
      </c>
      <c r="Q8" s="17" t="n">
        <v>0.0676138525941901</v>
      </c>
      <c r="R8" s="17" t="n">
        <v>0.372528234190892</v>
      </c>
      <c r="S8" s="18" t="n">
        <v>0.919019461628056</v>
      </c>
    </row>
    <row r="9" customFormat="false" ht="15" hidden="false" customHeight="false" outlineLevel="0" collapsed="false">
      <c r="A9" s="10" t="s">
        <v>96</v>
      </c>
      <c r="B9" s="10" t="s">
        <v>97</v>
      </c>
      <c r="C9" s="10" t="s">
        <v>72</v>
      </c>
      <c r="D9" s="10" t="s">
        <v>98</v>
      </c>
      <c r="E9" s="10" t="s">
        <v>74</v>
      </c>
      <c r="F9" s="11" t="s">
        <v>75</v>
      </c>
      <c r="G9" s="12" t="s">
        <v>76</v>
      </c>
      <c r="H9" s="13" t="n">
        <v>751.27</v>
      </c>
      <c r="I9" s="13" t="n">
        <v>728.461</v>
      </c>
      <c r="J9" s="13" t="n">
        <v>751.27</v>
      </c>
      <c r="K9" s="13" t="n">
        <v>673.028048780488</v>
      </c>
      <c r="L9" s="14" t="n">
        <f aca="false">IF(K9="","",K9*(1-Policy!$B$7))</f>
        <v>652.837207317073</v>
      </c>
      <c r="M9" s="14"/>
      <c r="N9" s="15" t="n">
        <f aca="false">IF(L9="","",H9/L9-1)</f>
        <v>0.150776934248969</v>
      </c>
      <c r="O9" s="15" t="n">
        <f aca="false">IF(AND(F9="Accumulate",N9&lt;&gt;"",N9&gt;0),MIN(Policy!$B$4/N9,IF(E9="Stock",Policy!$B$5,Policy!$B$6)),"")</f>
        <v>0.0331615709319556</v>
      </c>
      <c r="P9" s="16" t="n">
        <f aca="false">IF(O9="","",O9*Policy!$B$3*Policy!$B$2)</f>
        <v>33161.5709319556</v>
      </c>
      <c r="Q9" s="17" t="n">
        <v>0.0355060578076112</v>
      </c>
      <c r="R9" s="17" t="n">
        <v>0.274418999151824</v>
      </c>
      <c r="S9" s="18" t="n">
        <v>0.845404513958884</v>
      </c>
    </row>
    <row r="10" customFormat="false" ht="15" hidden="false" customHeight="false" outlineLevel="0" collapsed="false">
      <c r="A10" s="10" t="s">
        <v>99</v>
      </c>
      <c r="B10" s="10" t="s">
        <v>100</v>
      </c>
      <c r="C10" s="10" t="s">
        <v>72</v>
      </c>
      <c r="D10" s="10" t="s">
        <v>101</v>
      </c>
      <c r="E10" s="10" t="s">
        <v>74</v>
      </c>
      <c r="F10" s="11" t="s">
        <v>75</v>
      </c>
      <c r="G10" s="12" t="s">
        <v>76</v>
      </c>
      <c r="H10" s="13" t="n">
        <v>170.81</v>
      </c>
      <c r="I10" s="13" t="n">
        <v>169.172</v>
      </c>
      <c r="J10" s="13" t="n">
        <v>170.81</v>
      </c>
      <c r="K10" s="13" t="n">
        <v>157.159512195122</v>
      </c>
      <c r="L10" s="14" t="n">
        <f aca="false">IF(K10="","",K10*(1-Policy!$B$7))</f>
        <v>152.444726829268</v>
      </c>
      <c r="M10" s="14"/>
      <c r="N10" s="15" t="n">
        <f aca="false">IF(L10="","",H10/L10-1)</f>
        <v>0.120471685395193</v>
      </c>
      <c r="O10" s="15" t="n">
        <f aca="false">IF(AND(F10="Accumulate",N10&lt;&gt;"",N10&gt;0),MIN(Policy!$B$4/N10,IF(E10="Stock",Policy!$B$5,Policy!$B$6)),"")</f>
        <v>0.0415035282655678</v>
      </c>
      <c r="P10" s="16" t="n">
        <f aca="false">IF(O10="","",O10*Policy!$B$3*Policy!$B$2)</f>
        <v>41503.5282655678</v>
      </c>
      <c r="Q10" s="17" t="n">
        <v>0.0619870678935588</v>
      </c>
      <c r="R10" s="17" t="n">
        <v>0.201956231088593</v>
      </c>
      <c r="S10" s="18" t="n">
        <v>0.825869386805188</v>
      </c>
    </row>
    <row r="11" customFormat="false" ht="15" hidden="false" customHeight="false" outlineLevel="0" collapsed="false">
      <c r="A11" s="10" t="s">
        <v>102</v>
      </c>
      <c r="B11" s="10" t="s">
        <v>103</v>
      </c>
      <c r="C11" s="10" t="s">
        <v>72</v>
      </c>
      <c r="D11" s="10" t="s">
        <v>104</v>
      </c>
      <c r="E11" s="10" t="s">
        <v>80</v>
      </c>
      <c r="F11" s="11" t="s">
        <v>75</v>
      </c>
      <c r="G11" s="12" t="s">
        <v>76</v>
      </c>
      <c r="H11" s="13" t="n">
        <v>351.66</v>
      </c>
      <c r="I11" s="13" t="n">
        <v>345.719</v>
      </c>
      <c r="J11" s="13" t="n">
        <v>351.66</v>
      </c>
      <c r="K11" s="13" t="n">
        <v>340.178780487805</v>
      </c>
      <c r="L11" s="14" t="n">
        <f aca="false">IF(K11="","",K11*(1-Policy!$B$7))</f>
        <v>329.973417073171</v>
      </c>
      <c r="M11" s="14"/>
      <c r="N11" s="15" t="n">
        <f aca="false">IF(L11="","",H11/L11-1)</f>
        <v>0.0657222121684438</v>
      </c>
      <c r="O11" s="15" t="n">
        <f aca="false">IF(AND(F11="Accumulate",N11&lt;&gt;"",N11&gt;0),MIN(Policy!$B$4/N11,IF(E11="Stock",Policy!$B$5,Policy!$B$6)),"")</f>
        <v>0.0760777800233683</v>
      </c>
      <c r="P11" s="16" t="n">
        <f aca="false">IF(O11="","",O11*Policy!$B$3*Policy!$B$2)</f>
        <v>76077.7800233683</v>
      </c>
      <c r="Q11" s="17" t="n">
        <v>-0.0154543927431546</v>
      </c>
      <c r="R11" s="17" t="n">
        <v>0.486494483662341</v>
      </c>
      <c r="S11" s="18" t="n">
        <v>0.697454994270508</v>
      </c>
    </row>
    <row r="12" customFormat="false" ht="15" hidden="false" customHeight="false" outlineLevel="0" collapsed="false">
      <c r="A12" s="10" t="s">
        <v>105</v>
      </c>
      <c r="B12" s="10" t="s">
        <v>106</v>
      </c>
      <c r="C12" s="10" t="s">
        <v>72</v>
      </c>
      <c r="D12" s="10" t="s">
        <v>107</v>
      </c>
      <c r="E12" s="10" t="s">
        <v>80</v>
      </c>
      <c r="F12" s="11" t="s">
        <v>75</v>
      </c>
      <c r="G12" s="12" t="s">
        <v>76</v>
      </c>
      <c r="H12" s="13" t="n">
        <v>229.28</v>
      </c>
      <c r="I12" s="13" t="n">
        <v>224.061</v>
      </c>
      <c r="J12" s="13" t="n">
        <v>229.28</v>
      </c>
      <c r="K12" s="13" t="n">
        <v>202.048292682927</v>
      </c>
      <c r="L12" s="14" t="n">
        <f aca="false">IF(K12="","",K12*(1-Policy!$B$7))</f>
        <v>195.986843902439</v>
      </c>
      <c r="M12" s="14"/>
      <c r="N12" s="15" t="n">
        <f aca="false">IF(L12="","",H12/L12-1)</f>
        <v>0.169874443787329</v>
      </c>
      <c r="O12" s="15" t="n">
        <f aca="false">IF(AND(F12="Accumulate",N12&lt;&gt;"",N12&gt;0),MIN(Policy!$B$4/N12,IF(E12="Stock",Policy!$B$5,Policy!$B$6)),"")</f>
        <v>0.0294335032894039</v>
      </c>
      <c r="P12" s="16" t="n">
        <f aca="false">IF(O12="","",O12*Policy!$B$3*Policy!$B$2)</f>
        <v>29433.5032894039</v>
      </c>
      <c r="Q12" s="17" t="n">
        <v>0.086841107318923</v>
      </c>
      <c r="R12" s="17" t="n">
        <v>0.251801703428696</v>
      </c>
      <c r="S12" s="18" t="n">
        <v>0.522876372428729</v>
      </c>
    </row>
    <row r="13" customFormat="false" ht="23.85" hidden="false" customHeight="false" outlineLevel="0" collapsed="false">
      <c r="A13" s="10" t="s">
        <v>108</v>
      </c>
      <c r="B13" s="10" t="s">
        <v>109</v>
      </c>
      <c r="C13" s="10" t="s">
        <v>72</v>
      </c>
      <c r="D13" s="10" t="s">
        <v>110</v>
      </c>
      <c r="E13" s="10" t="s">
        <v>80</v>
      </c>
      <c r="F13" s="19" t="s">
        <v>111</v>
      </c>
      <c r="G13" s="12" t="s">
        <v>112</v>
      </c>
      <c r="H13" s="13" t="n">
        <v>275.04</v>
      </c>
      <c r="I13" s="13" t="n">
        <v>229.642</v>
      </c>
      <c r="J13" s="13" t="n">
        <v>275.04</v>
      </c>
      <c r="K13" s="13" t="n">
        <v>157.854756097561</v>
      </c>
      <c r="L13" s="14" t="n">
        <f aca="false">IF(K13="","",K13*(1-Policy!$B$7))</f>
        <v>153.119113414634</v>
      </c>
      <c r="M13" s="14"/>
      <c r="N13" s="15" t="n">
        <f aca="false">IF(L13="","",H13/L13-1)</f>
        <v>0.796248645035019</v>
      </c>
      <c r="O13" s="15" t="str">
        <f aca="false">IF(AND(F13="Accumulate",N13&lt;&gt;"",N13&gt;0),MIN(Policy!$B$4/N13,IF(E13="Stock",Policy!$B$5,Policy!$B$6)),"")</f>
        <v/>
      </c>
      <c r="P13" s="16" t="str">
        <f aca="false">IF(O13="","",O13*Policy!$B$3*Policy!$B$2)</f>
        <v/>
      </c>
      <c r="Q13" s="17" t="n">
        <v>0.469387755102041</v>
      </c>
      <c r="R13" s="17" t="n">
        <v>1.27000928505107</v>
      </c>
      <c r="S13" s="18" t="n">
        <v>1.59094390312974</v>
      </c>
    </row>
    <row r="14" customFormat="false" ht="23.85" hidden="false" customHeight="false" outlineLevel="0" collapsed="false">
      <c r="A14" s="10" t="s">
        <v>113</v>
      </c>
      <c r="B14" s="10" t="s">
        <v>114</v>
      </c>
      <c r="C14" s="10" t="s">
        <v>85</v>
      </c>
      <c r="D14" s="10" t="s">
        <v>115</v>
      </c>
      <c r="E14" s="10" t="s">
        <v>74</v>
      </c>
      <c r="F14" s="19" t="s">
        <v>111</v>
      </c>
      <c r="G14" s="12" t="s">
        <v>116</v>
      </c>
      <c r="H14" s="13" t="n">
        <v>148.2</v>
      </c>
      <c r="I14" s="13" t="n">
        <v>140.35</v>
      </c>
      <c r="J14" s="13" t="n">
        <v>148.2</v>
      </c>
      <c r="K14" s="13" t="n">
        <v>118.189512195122</v>
      </c>
      <c r="L14" s="14" t="n">
        <f aca="false">IF(K14="","",K14*(1-Policy!$B$7))</f>
        <v>114.643826829268</v>
      </c>
      <c r="M14" s="14"/>
      <c r="N14" s="15" t="n">
        <f aca="false">IF(L14="","",H14/L14-1)</f>
        <v>0.292699346304139</v>
      </c>
      <c r="O14" s="15" t="str">
        <f aca="false">IF(AND(F14="Accumulate",N14&lt;&gt;"",N14&gt;0),MIN(Policy!$B$4/N14,IF(E14="Stock",Policy!$B$5,Policy!$B$6)),"")</f>
        <v/>
      </c>
      <c r="P14" s="16" t="str">
        <f aca="false">IF(O14="","",O14*Policy!$B$3*Policy!$B$2)</f>
        <v/>
      </c>
      <c r="Q14" s="17" t="n">
        <v>0.363385464581417</v>
      </c>
      <c r="R14" s="17" t="n">
        <v>1.13575443147428</v>
      </c>
      <c r="S14" s="18" t="n">
        <v>1.36956073852849</v>
      </c>
    </row>
    <row r="15" customFormat="false" ht="23.85" hidden="false" customHeight="false" outlineLevel="0" collapsed="false">
      <c r="A15" s="10" t="s">
        <v>117</v>
      </c>
      <c r="B15" s="10" t="s">
        <v>118</v>
      </c>
      <c r="C15" s="10" t="s">
        <v>72</v>
      </c>
      <c r="D15" s="10" t="s">
        <v>107</v>
      </c>
      <c r="E15" s="10" t="s">
        <v>74</v>
      </c>
      <c r="F15" s="19" t="s">
        <v>111</v>
      </c>
      <c r="G15" s="12" t="s">
        <v>119</v>
      </c>
      <c r="H15" s="13" t="n">
        <v>559.4</v>
      </c>
      <c r="I15" s="13" t="n">
        <v>542.334</v>
      </c>
      <c r="J15" s="13" t="n">
        <v>559.4</v>
      </c>
      <c r="K15" s="13" t="n">
        <v>465.762926829268</v>
      </c>
      <c r="L15" s="14" t="n">
        <f aca="false">IF(K15="","",K15*(1-Policy!$B$7))</f>
        <v>451.79003902439</v>
      </c>
      <c r="M15" s="14"/>
      <c r="N15" s="15" t="n">
        <f aca="false">IF(L15="","",H15/L15-1)</f>
        <v>0.238185775870548</v>
      </c>
      <c r="O15" s="15" t="str">
        <f aca="false">IF(AND(F15="Accumulate",N15&lt;&gt;"",N15&gt;0),MIN(Policy!$B$4/N15,IF(E15="Stock",Policy!$B$5,Policy!$B$6)),"")</f>
        <v/>
      </c>
      <c r="P15" s="16" t="str">
        <f aca="false">IF(O15="","",O15*Policy!$B$3*Policy!$B$2)</f>
        <v/>
      </c>
      <c r="Q15" s="17" t="n">
        <v>-0.0377403928854028</v>
      </c>
      <c r="R15" s="17" t="n">
        <v>1.05669326078165</v>
      </c>
      <c r="S15" s="18" t="n">
        <v>1.32826909691167</v>
      </c>
    </row>
    <row r="16" customFormat="false" ht="23.85" hidden="false" customHeight="false" outlineLevel="0" collapsed="false">
      <c r="A16" s="10" t="s">
        <v>120</v>
      </c>
      <c r="B16" s="10" t="s">
        <v>121</v>
      </c>
      <c r="C16" s="10" t="s">
        <v>72</v>
      </c>
      <c r="D16" s="10" t="s">
        <v>110</v>
      </c>
      <c r="E16" s="10" t="s">
        <v>80</v>
      </c>
      <c r="F16" s="19" t="s">
        <v>111</v>
      </c>
      <c r="G16" s="12" t="s">
        <v>122</v>
      </c>
      <c r="H16" s="13" t="n">
        <v>418.78</v>
      </c>
      <c r="I16" s="13" t="n">
        <v>370.184</v>
      </c>
      <c r="J16" s="13" t="n">
        <v>418.78</v>
      </c>
      <c r="K16" s="13" t="n">
        <v>257.372682926829</v>
      </c>
      <c r="L16" s="14" t="n">
        <f aca="false">IF(K16="","",K16*(1-Policy!$B$7))</f>
        <v>249.651502439024</v>
      </c>
      <c r="M16" s="14"/>
      <c r="N16" s="15" t="n">
        <f aca="false">IF(L16="","",H16/L16-1)</f>
        <v>0.677458360589214</v>
      </c>
      <c r="O16" s="15" t="str">
        <f aca="false">IF(AND(F16="Accumulate",N16&lt;&gt;"",N16&gt;0),MIN(Policy!$B$4/N16,IF(E16="Stock",Policy!$B$5,Policy!$B$6)),"")</f>
        <v/>
      </c>
      <c r="P16" s="16" t="str">
        <f aca="false">IF(O16="","",O16*Policy!$B$3*Policy!$B$2)</f>
        <v/>
      </c>
      <c r="Q16" s="17" t="n">
        <v>0.284955969439416</v>
      </c>
      <c r="R16" s="17" t="n">
        <v>1.00805562215296</v>
      </c>
      <c r="S16" s="18" t="n">
        <v>1.28668509533712</v>
      </c>
    </row>
    <row r="17" customFormat="false" ht="23.85" hidden="false" customHeight="false" outlineLevel="0" collapsed="false">
      <c r="A17" s="10" t="s">
        <v>123</v>
      </c>
      <c r="B17" s="10" t="s">
        <v>124</v>
      </c>
      <c r="C17" s="10" t="s">
        <v>72</v>
      </c>
      <c r="D17" s="10" t="s">
        <v>110</v>
      </c>
      <c r="E17" s="10" t="s">
        <v>80</v>
      </c>
      <c r="F17" s="19" t="s">
        <v>111</v>
      </c>
      <c r="G17" s="12" t="s">
        <v>125</v>
      </c>
      <c r="H17" s="13" t="n">
        <v>535.07</v>
      </c>
      <c r="I17" s="13" t="n">
        <v>505.004</v>
      </c>
      <c r="J17" s="13" t="n">
        <v>535.07</v>
      </c>
      <c r="K17" s="13" t="n">
        <v>433.697073170732</v>
      </c>
      <c r="L17" s="14" t="n">
        <f aca="false">IF(K17="","",K17*(1-Policy!$B$7))</f>
        <v>420.68616097561</v>
      </c>
      <c r="M17" s="14"/>
      <c r="N17" s="15" t="n">
        <f aca="false">IF(L17="","",H17/L17-1)</f>
        <v>0.271898269149438</v>
      </c>
      <c r="O17" s="15" t="str">
        <f aca="false">IF(AND(F17="Accumulate",N17&lt;&gt;"",N17&gt;0),MIN(Policy!$B$4/N17,IF(E17="Stock",Policy!$B$5,Policy!$B$6)),"")</f>
        <v/>
      </c>
      <c r="P17" s="16" t="str">
        <f aca="false">IF(O17="","",O17*Policy!$B$3*Policy!$B$2)</f>
        <v/>
      </c>
      <c r="Q17" s="17" t="n">
        <v>0.389431316541158</v>
      </c>
      <c r="R17" s="17" t="n">
        <v>0.047185689682167</v>
      </c>
      <c r="S17" s="18" t="n">
        <v>0.583765872115203</v>
      </c>
    </row>
    <row r="18" customFormat="false" ht="23.85" hidden="false" customHeight="false" outlineLevel="0" collapsed="false">
      <c r="A18" s="10" t="s">
        <v>126</v>
      </c>
      <c r="B18" s="10" t="s">
        <v>127</v>
      </c>
      <c r="C18" s="10" t="s">
        <v>72</v>
      </c>
      <c r="D18" s="10" t="s">
        <v>128</v>
      </c>
      <c r="E18" s="10" t="s">
        <v>80</v>
      </c>
      <c r="F18" s="19" t="s">
        <v>111</v>
      </c>
      <c r="G18" s="12" t="s">
        <v>129</v>
      </c>
      <c r="H18" s="13" t="n">
        <v>216.74</v>
      </c>
      <c r="I18" s="13" t="n">
        <v>199.492</v>
      </c>
      <c r="J18" s="13" t="n">
        <v>216.74</v>
      </c>
      <c r="K18" s="13" t="n">
        <v>161.534878048781</v>
      </c>
      <c r="L18" s="14" t="n">
        <f aca="false">IF(K18="","",K18*(1-Policy!$B$7))</f>
        <v>156.688831707317</v>
      </c>
      <c r="M18" s="14"/>
      <c r="N18" s="15" t="n">
        <f aca="false">IF(L18="","",H18/L18-1)</f>
        <v>0.383251107550881</v>
      </c>
      <c r="O18" s="15" t="str">
        <f aca="false">IF(AND(F18="Accumulate",N18&lt;&gt;"",N18&gt;0),MIN(Policy!$B$4/N18,IF(E18="Stock",Policy!$B$5,Policy!$B$6)),"")</f>
        <v/>
      </c>
      <c r="P18" s="16" t="str">
        <f aca="false">IF(O18="","",O18*Policy!$B$3*Policy!$B$2)</f>
        <v/>
      </c>
      <c r="Q18" s="17" t="n">
        <v>0.15928540864356</v>
      </c>
      <c r="R18" s="17" t="n">
        <v>0.406489292667099</v>
      </c>
      <c r="S18" s="18" t="n">
        <v>0.575074141877227</v>
      </c>
    </row>
    <row r="19" customFormat="false" ht="23.85" hidden="false" customHeight="false" outlineLevel="0" collapsed="false">
      <c r="A19" s="10" t="s">
        <v>130</v>
      </c>
      <c r="B19" s="10" t="s">
        <v>131</v>
      </c>
      <c r="C19" s="10" t="s">
        <v>132</v>
      </c>
      <c r="D19" s="10" t="s">
        <v>133</v>
      </c>
      <c r="E19" s="10" t="s">
        <v>80</v>
      </c>
      <c r="F19" s="19" t="s">
        <v>111</v>
      </c>
      <c r="G19" s="12" t="s">
        <v>134</v>
      </c>
      <c r="H19" s="13" t="n">
        <v>41.42</v>
      </c>
      <c r="I19" s="13" t="n">
        <v>40.251</v>
      </c>
      <c r="J19" s="13" t="n">
        <v>41.42</v>
      </c>
      <c r="K19" s="13" t="n">
        <v>39.1548780487805</v>
      </c>
      <c r="L19" s="14" t="n">
        <f aca="false">IF(K19="","",K19*(1-Policy!$B$7))</f>
        <v>37.9802317073171</v>
      </c>
      <c r="M19" s="14"/>
      <c r="N19" s="15" t="n">
        <f aca="false">IF(L19="","",H19/L19-1)</f>
        <v>0.0905673330060344</v>
      </c>
      <c r="O19" s="15" t="str">
        <f aca="false">IF(AND(F19="Accumulate",N19&lt;&gt;"",N19&gt;0),MIN(Policy!$B$4/N19,IF(E19="Stock",Policy!$B$5,Policy!$B$6)),"")</f>
        <v/>
      </c>
      <c r="P19" s="16" t="str">
        <f aca="false">IF(O19="","",O19*Policy!$B$3*Policy!$B$2)</f>
        <v/>
      </c>
      <c r="Q19" s="17" t="n">
        <v>0.123101952277657</v>
      </c>
      <c r="R19" s="17" t="n">
        <v>0.0308611249377802</v>
      </c>
      <c r="S19" s="18" t="n">
        <v>0.45279152346964</v>
      </c>
    </row>
    <row r="20" customFormat="false" ht="23.85" hidden="false" customHeight="false" outlineLevel="0" collapsed="false">
      <c r="A20" s="10" t="s">
        <v>135</v>
      </c>
      <c r="B20" s="10" t="s">
        <v>136</v>
      </c>
      <c r="C20" s="10" t="s">
        <v>72</v>
      </c>
      <c r="D20" s="10" t="s">
        <v>137</v>
      </c>
      <c r="E20" s="10" t="s">
        <v>80</v>
      </c>
      <c r="F20" s="19" t="s">
        <v>111</v>
      </c>
      <c r="G20" s="12" t="s">
        <v>134</v>
      </c>
      <c r="H20" s="13" t="n">
        <v>262.43</v>
      </c>
      <c r="I20" s="13" t="n">
        <v>259.481</v>
      </c>
      <c r="J20" s="13" t="n">
        <v>262.43</v>
      </c>
      <c r="K20" s="13" t="n">
        <v>242.595365853659</v>
      </c>
      <c r="L20" s="14" t="n">
        <f aca="false">IF(K20="","",K20*(1-Policy!$B$7))</f>
        <v>235.317504878049</v>
      </c>
      <c r="M20" s="14"/>
      <c r="N20" s="15" t="n">
        <f aca="false">IF(L20="","",H20/L20-1)</f>
        <v>0.11521665222484</v>
      </c>
      <c r="O20" s="15" t="str">
        <f aca="false">IF(AND(F20="Accumulate",N20&lt;&gt;"",N20&gt;0),MIN(Policy!$B$4/N20,IF(E20="Stock",Policy!$B$5,Policy!$B$6)),"")</f>
        <v/>
      </c>
      <c r="P20" s="16" t="str">
        <f aca="false">IF(O20="","",O20*Policy!$B$3*Policy!$B$2)</f>
        <v/>
      </c>
      <c r="Q20" s="17" t="n">
        <v>0.0696584331947501</v>
      </c>
      <c r="R20" s="17" t="n">
        <v>0.212876091879651</v>
      </c>
      <c r="S20" s="18" t="n">
        <v>0.382284046572239</v>
      </c>
    </row>
    <row r="21" customFormat="false" ht="23.85" hidden="false" customHeight="false" outlineLevel="0" collapsed="false">
      <c r="A21" s="10" t="s">
        <v>138</v>
      </c>
      <c r="B21" s="10" t="s">
        <v>139</v>
      </c>
      <c r="C21" s="10" t="s">
        <v>72</v>
      </c>
      <c r="D21" s="10" t="s">
        <v>110</v>
      </c>
      <c r="E21" s="10" t="s">
        <v>74</v>
      </c>
      <c r="F21" s="19" t="s">
        <v>111</v>
      </c>
      <c r="G21" s="12" t="s">
        <v>140</v>
      </c>
      <c r="H21" s="13" t="n">
        <v>112.67</v>
      </c>
      <c r="I21" s="13" t="n">
        <v>105.719</v>
      </c>
      <c r="J21" s="13" t="n">
        <v>112.67</v>
      </c>
      <c r="K21" s="13" t="n">
        <v>93.3282926829268</v>
      </c>
      <c r="L21" s="14" t="n">
        <f aca="false">IF(K21="","",K21*(1-Policy!$B$7))</f>
        <v>90.528443902439</v>
      </c>
      <c r="M21" s="14"/>
      <c r="N21" s="15" t="n">
        <f aca="false">IF(L21="","",H21/L21-1)</f>
        <v>0.244581207221706</v>
      </c>
      <c r="O21" s="15" t="str">
        <f aca="false">IF(AND(F21="Accumulate",N21&lt;&gt;"",N21&gt;0),MIN(Policy!$B$4/N21,IF(E21="Stock",Policy!$B$5,Policy!$B$6)),"")</f>
        <v/>
      </c>
      <c r="P21" s="16" t="str">
        <f aca="false">IF(O21="","",O21*Policy!$B$3*Policy!$B$2)</f>
        <v/>
      </c>
      <c r="Q21" s="17" t="n">
        <v>0.219240341954334</v>
      </c>
      <c r="R21" s="17" t="n">
        <v>0.00517441341778935</v>
      </c>
      <c r="S21" s="18" t="n">
        <v>0.322457376064392</v>
      </c>
    </row>
    <row r="22" customFormat="false" ht="23.85" hidden="false" customHeight="false" outlineLevel="0" collapsed="false">
      <c r="A22" s="10" t="s">
        <v>141</v>
      </c>
      <c r="B22" s="10" t="s">
        <v>142</v>
      </c>
      <c r="C22" s="10" t="s">
        <v>132</v>
      </c>
      <c r="D22" s="10" t="s">
        <v>143</v>
      </c>
      <c r="E22" s="10" t="s">
        <v>80</v>
      </c>
      <c r="F22" s="19" t="s">
        <v>111</v>
      </c>
      <c r="G22" s="12" t="s">
        <v>134</v>
      </c>
      <c r="H22" s="13" t="n">
        <v>28.99</v>
      </c>
      <c r="I22" s="13" t="n">
        <v>28.289</v>
      </c>
      <c r="J22" s="13" t="n">
        <v>28.99</v>
      </c>
      <c r="K22" s="13" t="n">
        <v>27.4034146341463</v>
      </c>
      <c r="L22" s="14" t="n">
        <f aca="false">IF(K22="","",K22*(1-Policy!$B$7))</f>
        <v>26.581312195122</v>
      </c>
      <c r="M22" s="14"/>
      <c r="N22" s="15" t="n">
        <f aca="false">IF(L22="","",H22/L22-1)</f>
        <v>0.0906158351851447</v>
      </c>
      <c r="O22" s="15" t="str">
        <f aca="false">IF(AND(F22="Accumulate",N22&lt;&gt;"",N22&gt;0),MIN(Policy!$B$4/N22,IF(E22="Stock",Policy!$B$5,Policy!$B$6)),"")</f>
        <v/>
      </c>
      <c r="P22" s="16" t="str">
        <f aca="false">IF(O22="","",O22*Policy!$B$3*Policy!$B$2)</f>
        <v/>
      </c>
      <c r="Q22" s="17" t="n">
        <v>0.0342490189083125</v>
      </c>
      <c r="R22" s="17" t="n">
        <v>0.0454381536242337</v>
      </c>
      <c r="S22" s="18" t="n">
        <v>0.296054325565482</v>
      </c>
    </row>
    <row r="23" customFormat="false" ht="23.85" hidden="false" customHeight="false" outlineLevel="0" collapsed="false">
      <c r="A23" s="10" t="s">
        <v>144</v>
      </c>
      <c r="B23" s="10" t="s">
        <v>145</v>
      </c>
      <c r="C23" s="10" t="s">
        <v>72</v>
      </c>
      <c r="D23" s="10" t="s">
        <v>104</v>
      </c>
      <c r="E23" s="10" t="s">
        <v>80</v>
      </c>
      <c r="F23" s="19" t="s">
        <v>111</v>
      </c>
      <c r="G23" s="12" t="s">
        <v>134</v>
      </c>
      <c r="H23" s="13" t="n">
        <v>718.67</v>
      </c>
      <c r="I23" s="13" t="n">
        <v>643.883</v>
      </c>
      <c r="J23" s="13" t="n">
        <v>718.67</v>
      </c>
      <c r="K23" s="13" t="n">
        <v>626.867804878049</v>
      </c>
      <c r="L23" s="14" t="n">
        <f aca="false">IF(K23="","",K23*(1-Policy!$B$7))</f>
        <v>608.061770731707</v>
      </c>
      <c r="M23" s="14"/>
      <c r="N23" s="15" t="n">
        <f aca="false">IF(L23="","",H23/L23-1)</f>
        <v>0.181902948996766</v>
      </c>
      <c r="O23" s="15" t="str">
        <f aca="false">IF(AND(F23="Accumulate",N23&lt;&gt;"",N23&gt;0),MIN(Policy!$B$4/N23,IF(E23="Stock",Policy!$B$5,Policy!$B$6)),"")</f>
        <v/>
      </c>
      <c r="P23" s="16" t="str">
        <f aca="false">IF(O23="","",O23*Policy!$B$3*Policy!$B$2)</f>
        <v/>
      </c>
      <c r="Q23" s="17" t="n">
        <v>0.0739080408242554</v>
      </c>
      <c r="R23" s="17" t="n">
        <v>0.0189564724230824</v>
      </c>
      <c r="S23" s="18" t="n">
        <v>0.105607854659758</v>
      </c>
    </row>
    <row r="24" customFormat="false" ht="23.85" hidden="false" customHeight="false" outlineLevel="0" collapsed="false">
      <c r="A24" s="10" t="s">
        <v>146</v>
      </c>
      <c r="B24" s="10" t="s">
        <v>147</v>
      </c>
      <c r="C24" s="10" t="s">
        <v>72</v>
      </c>
      <c r="D24" s="10" t="s">
        <v>110</v>
      </c>
      <c r="E24" s="10" t="s">
        <v>80</v>
      </c>
      <c r="F24" s="19" t="s">
        <v>111</v>
      </c>
      <c r="G24" s="12" t="s">
        <v>125</v>
      </c>
      <c r="H24" s="13" t="n">
        <v>140.86</v>
      </c>
      <c r="I24" s="13" t="n">
        <v>134.219</v>
      </c>
      <c r="J24" s="13" t="n">
        <v>140.86</v>
      </c>
      <c r="K24" s="13" t="n">
        <v>114.334634146342</v>
      </c>
      <c r="L24" s="14" t="n">
        <f aca="false">IF(K24="","",K24*(1-Policy!$B$7))</f>
        <v>110.904595121951</v>
      </c>
      <c r="M24" s="14"/>
      <c r="N24" s="15" t="n">
        <f aca="false">IF(L24="","",H24/L24-1)</f>
        <v>0.270100664856219</v>
      </c>
      <c r="O24" s="15" t="str">
        <f aca="false">IF(AND(F24="Accumulate",N24&lt;&gt;"",N24&gt;0),MIN(Policy!$B$4/N24,IF(E24="Stock",Policy!$B$5,Policy!$B$6)),"")</f>
        <v/>
      </c>
      <c r="P24" s="16" t="str">
        <f aca="false">IF(O24="","",O24*Policy!$B$3*Policy!$B$2)</f>
        <v/>
      </c>
      <c r="Q24" s="17" t="n">
        <v>0.307770866214836</v>
      </c>
      <c r="R24" s="17" t="n">
        <v>-0.220562195661797</v>
      </c>
      <c r="S24" s="18" t="n">
        <v>0.074636767503375</v>
      </c>
    </row>
    <row r="25" customFormat="false" ht="23.85" hidden="false" customHeight="false" outlineLevel="0" collapsed="false">
      <c r="A25" s="10" t="s">
        <v>148</v>
      </c>
      <c r="B25" s="10" t="s">
        <v>149</v>
      </c>
      <c r="C25" s="10" t="s">
        <v>79</v>
      </c>
      <c r="D25" s="10" t="s">
        <v>150</v>
      </c>
      <c r="E25" s="10" t="s">
        <v>80</v>
      </c>
      <c r="F25" s="19" t="s">
        <v>111</v>
      </c>
      <c r="G25" s="12" t="s">
        <v>134</v>
      </c>
      <c r="H25" s="13" t="n">
        <v>27.22</v>
      </c>
      <c r="I25" s="13" t="n">
        <v>25.821</v>
      </c>
      <c r="J25" s="13" t="n">
        <v>27.22</v>
      </c>
      <c r="K25" s="13" t="n">
        <v>25.6421951219512</v>
      </c>
      <c r="L25" s="14" t="n">
        <f aca="false">IF(K25="","",K25*(1-Policy!$B$7))</f>
        <v>24.8729292682927</v>
      </c>
      <c r="M25" s="14"/>
      <c r="N25" s="15" t="n">
        <f aca="false">IF(L25="","",H25/L25-1)</f>
        <v>0.0943624575292503</v>
      </c>
      <c r="O25" s="15" t="str">
        <f aca="false">IF(AND(F25="Accumulate",N25&lt;&gt;"",N25&gt;0),MIN(Policy!$B$4/N25,IF(E25="Stock",Policy!$B$5,Policy!$B$6)),"")</f>
        <v/>
      </c>
      <c r="P25" s="16" t="str">
        <f aca="false">IF(O25="","",O25*Policy!$B$3*Policy!$B$2)</f>
        <v/>
      </c>
      <c r="Q25" s="17" t="n">
        <v>0.128056361375881</v>
      </c>
      <c r="R25" s="17" t="n">
        <v>-0.194197750148017</v>
      </c>
      <c r="S25" s="18" t="n">
        <v>-0.0942618980889608</v>
      </c>
    </row>
    <row r="26" customFormat="false" ht="23.85" hidden="false" customHeight="false" outlineLevel="0" collapsed="false">
      <c r="A26" s="10" t="s">
        <v>151</v>
      </c>
      <c r="B26" s="10" t="s">
        <v>152</v>
      </c>
      <c r="C26" s="10" t="s">
        <v>79</v>
      </c>
      <c r="D26" s="10" t="s">
        <v>153</v>
      </c>
      <c r="E26" s="10" t="s">
        <v>80</v>
      </c>
      <c r="F26" s="19" t="s">
        <v>111</v>
      </c>
      <c r="G26" s="12" t="s">
        <v>134</v>
      </c>
      <c r="H26" s="13" t="n">
        <v>46.77</v>
      </c>
      <c r="I26" s="13" t="n">
        <v>46.4844</v>
      </c>
      <c r="J26" s="13" t="n">
        <v>46.77</v>
      </c>
      <c r="K26" s="13" t="n">
        <v>46.3637073170732</v>
      </c>
      <c r="L26" s="14" t="n">
        <f aca="false">IF(K26="","",K26*(1-Policy!$B$7))</f>
        <v>44.972796097561</v>
      </c>
      <c r="M26" s="14"/>
      <c r="N26" s="15" t="n">
        <f aca="false">IF(L26="","",H26/L26-1)</f>
        <v>0.0399620227868485</v>
      </c>
      <c r="O26" s="15" t="str">
        <f aca="false">IF(AND(F26="Accumulate",N26&lt;&gt;"",N26&gt;0),MIN(Policy!$B$4/N26,IF(E26="Stock",Policy!$B$5,Policy!$B$6)),"")</f>
        <v/>
      </c>
      <c r="P26" s="16" t="str">
        <f aca="false">IF(O26="","",O26*Policy!$B$3*Policy!$B$2)</f>
        <v/>
      </c>
      <c r="Q26" s="17" t="n">
        <v>0.0181556948798329</v>
      </c>
      <c r="R26" s="17" t="n">
        <v>-0.0673706851327248</v>
      </c>
      <c r="S26" s="18" t="n">
        <v>-0.113835425571076</v>
      </c>
    </row>
    <row r="27" customFormat="false" ht="15" hidden="false" customHeight="false" outlineLevel="0" collapsed="false">
      <c r="A27" s="10" t="s">
        <v>154</v>
      </c>
      <c r="B27" s="10" t="s">
        <v>155</v>
      </c>
      <c r="C27" s="10" t="s">
        <v>156</v>
      </c>
      <c r="D27" s="10" t="s">
        <v>133</v>
      </c>
      <c r="E27" s="10" t="s">
        <v>80</v>
      </c>
      <c r="F27" s="20" t="s">
        <v>157</v>
      </c>
      <c r="G27" s="12" t="s">
        <v>158</v>
      </c>
      <c r="H27" s="13" t="n">
        <v>29</v>
      </c>
      <c r="I27" s="13"/>
      <c r="J27" s="13"/>
      <c r="K27" s="13"/>
      <c r="L27" s="14" t="str">
        <f aca="false">IF(K27="","",K27*(1-Policy!$B$7))</f>
        <v/>
      </c>
      <c r="M27" s="14" t="n">
        <v>31.206</v>
      </c>
      <c r="N27" s="15" t="str">
        <f aca="false">IF(L27="","",H27/L27-1)</f>
        <v/>
      </c>
      <c r="O27" s="15" t="str">
        <f aca="false">IF(AND(F27="Accumulate",N27&lt;&gt;"",N27&gt;0),MIN(Policy!$B$4/N27,IF(E27="Stock",Policy!$B$5,Policy!$B$6)),"")</f>
        <v/>
      </c>
      <c r="P27" s="16" t="str">
        <f aca="false">IF(O27="","",O27*Policy!$B$3*Policy!$B$2)</f>
        <v/>
      </c>
      <c r="Q27" s="17" t="n">
        <v>0.057236602260299</v>
      </c>
      <c r="R27" s="17" t="n">
        <v>0.718009478672986</v>
      </c>
      <c r="S27" s="18" t="n">
        <v>1.92591977219602</v>
      </c>
    </row>
    <row r="28" customFormat="false" ht="15" hidden="false" customHeight="false" outlineLevel="0" collapsed="false">
      <c r="A28" s="10" t="s">
        <v>159</v>
      </c>
      <c r="B28" s="10" t="s">
        <v>160</v>
      </c>
      <c r="C28" s="10" t="s">
        <v>156</v>
      </c>
      <c r="D28" s="10" t="s">
        <v>133</v>
      </c>
      <c r="E28" s="10" t="s">
        <v>80</v>
      </c>
      <c r="F28" s="20" t="s">
        <v>157</v>
      </c>
      <c r="G28" s="12" t="s">
        <v>158</v>
      </c>
      <c r="H28" s="13" t="n">
        <v>73.36</v>
      </c>
      <c r="I28" s="13"/>
      <c r="J28" s="13"/>
      <c r="K28" s="13"/>
      <c r="L28" s="14" t="str">
        <f aca="false">IF(K28="","",K28*(1-Policy!$B$7))</f>
        <v/>
      </c>
      <c r="M28" s="14" t="n">
        <v>76.509</v>
      </c>
      <c r="N28" s="15" t="str">
        <f aca="false">IF(L28="","",H28/L28-1)</f>
        <v/>
      </c>
      <c r="O28" s="15" t="str">
        <f aca="false">IF(AND(F28="Accumulate",N28&lt;&gt;"",N28&gt;0),MIN(Policy!$B$4/N28,IF(E28="Stock",Policy!$B$5,Policy!$B$6)),"")</f>
        <v/>
      </c>
      <c r="P28" s="16" t="str">
        <f aca="false">IF(O28="","",O28*Policy!$B$3*Policy!$B$2)</f>
        <v/>
      </c>
      <c r="Q28" s="17" t="n">
        <v>0.041305890702626</v>
      </c>
      <c r="R28" s="17" t="n">
        <v>0.36230269266481</v>
      </c>
      <c r="S28" s="18" t="n">
        <v>1.32360875140579</v>
      </c>
    </row>
    <row r="29" customFormat="false" ht="15" hidden="false" customHeight="false" outlineLevel="0" collapsed="false">
      <c r="A29" s="10" t="s">
        <v>161</v>
      </c>
      <c r="B29" s="10" t="s">
        <v>162</v>
      </c>
      <c r="C29" s="10" t="s">
        <v>156</v>
      </c>
      <c r="D29" s="10" t="s">
        <v>92</v>
      </c>
      <c r="E29" s="10" t="s">
        <v>74</v>
      </c>
      <c r="F29" s="20" t="s">
        <v>157</v>
      </c>
      <c r="G29" s="12" t="s">
        <v>158</v>
      </c>
      <c r="H29" s="13" t="n">
        <v>5.497</v>
      </c>
      <c r="I29" s="13"/>
      <c r="J29" s="13"/>
      <c r="K29" s="13"/>
      <c r="L29" s="14" t="str">
        <f aca="false">IF(K29="","",K29*(1-Policy!$B$7))</f>
        <v/>
      </c>
      <c r="M29" s="14" t="n">
        <v>5.7499</v>
      </c>
      <c r="N29" s="15" t="str">
        <f aca="false">IF(L29="","",H29/L29-1)</f>
        <v/>
      </c>
      <c r="O29" s="15" t="str">
        <f aca="false">IF(AND(F29="Accumulate",N29&lt;&gt;"",N29&gt;0),MIN(Policy!$B$4/N29,IF(E29="Stock",Policy!$B$5,Policy!$B$6)),"")</f>
        <v/>
      </c>
      <c r="P29" s="16" t="str">
        <f aca="false">IF(O29="","",O29*Policy!$B$3*Policy!$B$2)</f>
        <v/>
      </c>
      <c r="Q29" s="17" t="n">
        <v>-0.0131059245960503</v>
      </c>
      <c r="R29" s="17" t="n">
        <v>0.225641025641026</v>
      </c>
      <c r="S29" s="18" t="n">
        <v>0.982608885507516</v>
      </c>
    </row>
    <row r="30" customFormat="false" ht="15" hidden="false" customHeight="false" outlineLevel="0" collapsed="false">
      <c r="A30" s="10" t="s">
        <v>163</v>
      </c>
      <c r="B30" s="10" t="s">
        <v>164</v>
      </c>
      <c r="C30" s="10" t="s">
        <v>79</v>
      </c>
      <c r="D30" s="10" t="s">
        <v>165</v>
      </c>
      <c r="E30" s="10" t="s">
        <v>80</v>
      </c>
      <c r="F30" s="20" t="s">
        <v>157</v>
      </c>
      <c r="G30" s="12" t="s">
        <v>158</v>
      </c>
      <c r="H30" s="13" t="n">
        <v>71.16</v>
      </c>
      <c r="I30" s="13"/>
      <c r="J30" s="13"/>
      <c r="K30" s="13"/>
      <c r="L30" s="14" t="str">
        <f aca="false">IF(K30="","",K30*(1-Policy!$B$7))</f>
        <v/>
      </c>
      <c r="M30" s="14" t="n">
        <v>73.378</v>
      </c>
      <c r="N30" s="15" t="str">
        <f aca="false">IF(L30="","",H30/L30-1)</f>
        <v/>
      </c>
      <c r="O30" s="15" t="str">
        <f aca="false">IF(AND(F30="Accumulate",N30&lt;&gt;"",N30&gt;0),MIN(Policy!$B$4/N30,IF(E30="Stock",Policy!$B$5,Policy!$B$6)),"")</f>
        <v/>
      </c>
      <c r="P30" s="16" t="str">
        <f aca="false">IF(O30="","",O30*Policy!$B$3*Policy!$B$2)</f>
        <v/>
      </c>
      <c r="Q30" s="17" t="n">
        <v>0.0557863501483678</v>
      </c>
      <c r="R30" s="17" t="n">
        <v>0.429346188611028</v>
      </c>
      <c r="S30" s="18" t="n">
        <v>0.917224835789518</v>
      </c>
    </row>
    <row r="31" customFormat="false" ht="15" hidden="false" customHeight="false" outlineLevel="0" collapsed="false">
      <c r="A31" s="10" t="s">
        <v>166</v>
      </c>
      <c r="B31" s="10" t="s">
        <v>167</v>
      </c>
      <c r="C31" s="10" t="s">
        <v>79</v>
      </c>
      <c r="D31" s="10" t="s">
        <v>133</v>
      </c>
      <c r="E31" s="10" t="s">
        <v>80</v>
      </c>
      <c r="F31" s="20" t="s">
        <v>157</v>
      </c>
      <c r="G31" s="12" t="s">
        <v>158</v>
      </c>
      <c r="H31" s="13" t="n">
        <v>13.958</v>
      </c>
      <c r="I31" s="13"/>
      <c r="J31" s="13"/>
      <c r="K31" s="13"/>
      <c r="L31" s="14" t="str">
        <f aca="false">IF(K31="","",K31*(1-Policy!$B$7))</f>
        <v/>
      </c>
      <c r="M31" s="14" t="n">
        <v>15.0922</v>
      </c>
      <c r="N31" s="15" t="str">
        <f aca="false">IF(L31="","",H31/L31-1)</f>
        <v/>
      </c>
      <c r="O31" s="15" t="str">
        <f aca="false">IF(AND(F31="Accumulate",N31&lt;&gt;"",N31&gt;0),MIN(Policy!$B$4/N31,IF(E31="Stock",Policy!$B$5,Policy!$B$6)),"")</f>
        <v/>
      </c>
      <c r="P31" s="16" t="str">
        <f aca="false">IF(O31="","",O31*Policy!$B$3*Policy!$B$2)</f>
        <v/>
      </c>
      <c r="Q31" s="17" t="n">
        <v>-0.0515085621092688</v>
      </c>
      <c r="R31" s="17" t="n">
        <v>0.405922643029815</v>
      </c>
      <c r="S31" s="18" t="n">
        <v>0.69208248540344</v>
      </c>
    </row>
    <row r="32" customFormat="false" ht="15" hidden="false" customHeight="false" outlineLevel="0" collapsed="false">
      <c r="A32" s="10" t="s">
        <v>168</v>
      </c>
      <c r="B32" s="10" t="s">
        <v>169</v>
      </c>
      <c r="C32" s="10" t="s">
        <v>170</v>
      </c>
      <c r="D32" s="10" t="s">
        <v>73</v>
      </c>
      <c r="E32" s="10" t="s">
        <v>80</v>
      </c>
      <c r="F32" s="20" t="s">
        <v>157</v>
      </c>
      <c r="G32" s="12" t="s">
        <v>158</v>
      </c>
      <c r="H32" s="13" t="n">
        <v>9.83</v>
      </c>
      <c r="I32" s="13"/>
      <c r="J32" s="13"/>
      <c r="K32" s="13"/>
      <c r="L32" s="14" t="str">
        <f aca="false">IF(K32="","",K32*(1-Policy!$B$7))</f>
        <v/>
      </c>
      <c r="M32" s="14" t="n">
        <v>9.90134146341463</v>
      </c>
      <c r="N32" s="15" t="str">
        <f aca="false">IF(L32="","",H32/L32-1)</f>
        <v/>
      </c>
      <c r="O32" s="15" t="str">
        <f aca="false">IF(AND(F32="Accumulate",N32&lt;&gt;"",N32&gt;0),MIN(Policy!$B$4/N32,IF(E32="Stock",Policy!$B$5,Policy!$B$6)),"")</f>
        <v/>
      </c>
      <c r="P32" s="16" t="str">
        <f aca="false">IF(O32="","",O32*Policy!$B$3*Policy!$B$2)</f>
        <v/>
      </c>
      <c r="Q32" s="17" t="n">
        <v>0.0885935769656701</v>
      </c>
      <c r="R32" s="17" t="n">
        <v>0.35213204951857</v>
      </c>
      <c r="S32" s="18" t="n">
        <v>0.68180897098414</v>
      </c>
    </row>
    <row r="33" customFormat="false" ht="15" hidden="false" customHeight="false" outlineLevel="0" collapsed="false">
      <c r="A33" s="10" t="s">
        <v>171</v>
      </c>
      <c r="B33" s="10" t="s">
        <v>172</v>
      </c>
      <c r="C33" s="10" t="s">
        <v>170</v>
      </c>
      <c r="D33" s="10" t="s">
        <v>133</v>
      </c>
      <c r="E33" s="10" t="s">
        <v>80</v>
      </c>
      <c r="F33" s="20" t="s">
        <v>157</v>
      </c>
      <c r="G33" s="12" t="s">
        <v>158</v>
      </c>
      <c r="H33" s="13" t="n">
        <v>145.2</v>
      </c>
      <c r="I33" s="13"/>
      <c r="J33" s="13"/>
      <c r="K33" s="13"/>
      <c r="L33" s="14" t="str">
        <f aca="false">IF(K33="","",K33*(1-Policy!$B$7))</f>
        <v/>
      </c>
      <c r="M33" s="14" t="n">
        <v>159.02</v>
      </c>
      <c r="N33" s="15" t="str">
        <f aca="false">IF(L33="","",H33/L33-1)</f>
        <v/>
      </c>
      <c r="O33" s="15" t="str">
        <f aca="false">IF(AND(F33="Accumulate",N33&lt;&gt;"",N33&gt;0),MIN(Policy!$B$4/N33,IF(E33="Stock",Policy!$B$5,Policy!$B$6)),"")</f>
        <v/>
      </c>
      <c r="P33" s="16" t="str">
        <f aca="false">IF(O33="","",O33*Policy!$B$3*Policy!$B$2)</f>
        <v/>
      </c>
      <c r="Q33" s="17" t="n">
        <v>-0.0540716612377851</v>
      </c>
      <c r="R33" s="17" t="n">
        <v>0.402898550724638</v>
      </c>
      <c r="S33" s="18" t="n">
        <v>0.675176407308876</v>
      </c>
    </row>
    <row r="34" customFormat="false" ht="15" hidden="false" customHeight="false" outlineLevel="0" collapsed="false">
      <c r="A34" s="10" t="s">
        <v>173</v>
      </c>
      <c r="B34" s="10" t="s">
        <v>173</v>
      </c>
      <c r="C34" s="10" t="s">
        <v>79</v>
      </c>
      <c r="D34" s="10" t="s">
        <v>143</v>
      </c>
      <c r="E34" s="10" t="s">
        <v>80</v>
      </c>
      <c r="F34" s="20" t="s">
        <v>157</v>
      </c>
      <c r="G34" s="12" t="s">
        <v>158</v>
      </c>
      <c r="H34" s="13" t="n">
        <v>24.53</v>
      </c>
      <c r="I34" s="13"/>
      <c r="J34" s="13"/>
      <c r="K34" s="13"/>
      <c r="L34" s="14" t="str">
        <f aca="false">IF(K34="","",K34*(1-Policy!$B$7))</f>
        <v/>
      </c>
      <c r="M34" s="14" t="n">
        <v>24.6663414634146</v>
      </c>
      <c r="N34" s="15" t="str">
        <f aca="false">IF(L34="","",H34/L34-1)</f>
        <v/>
      </c>
      <c r="O34" s="15" t="str">
        <f aca="false">IF(AND(F34="Accumulate",N34&lt;&gt;"",N34&gt;0),MIN(Policy!$B$4/N34,IF(E34="Stock",Policy!$B$5,Policy!$B$6)),"")</f>
        <v/>
      </c>
      <c r="P34" s="16" t="str">
        <f aca="false">IF(O34="","",O34*Policy!$B$3*Policy!$B$2)</f>
        <v/>
      </c>
      <c r="Q34" s="17" t="n">
        <v>0.0102965403624382</v>
      </c>
      <c r="R34" s="17" t="n">
        <v>0.347062053816584</v>
      </c>
      <c r="S34" s="18" t="n">
        <v>0.552435036290928</v>
      </c>
    </row>
    <row r="35" customFormat="false" ht="15" hidden="false" customHeight="false" outlineLevel="0" collapsed="false">
      <c r="A35" s="10" t="s">
        <v>174</v>
      </c>
      <c r="B35" s="10" t="s">
        <v>175</v>
      </c>
      <c r="C35" s="10" t="s">
        <v>132</v>
      </c>
      <c r="D35" s="10" t="s">
        <v>176</v>
      </c>
      <c r="E35" s="10" t="s">
        <v>80</v>
      </c>
      <c r="F35" s="20" t="s">
        <v>157</v>
      </c>
      <c r="G35" s="12" t="s">
        <v>158</v>
      </c>
      <c r="H35" s="13" t="n">
        <v>82.46</v>
      </c>
      <c r="I35" s="13"/>
      <c r="J35" s="13"/>
      <c r="K35" s="13"/>
      <c r="L35" s="14" t="str">
        <f aca="false">IF(K35="","",K35*(1-Policy!$B$7))</f>
        <v/>
      </c>
      <c r="M35" s="14" t="n">
        <v>84.05</v>
      </c>
      <c r="N35" s="15" t="str">
        <f aca="false">IF(L35="","",H35/L35-1)</f>
        <v/>
      </c>
      <c r="O35" s="15" t="str">
        <f aca="false">IF(AND(F35="Accumulate",N35&lt;&gt;"",N35&gt;0),MIN(Policy!$B$4/N35,IF(E35="Stock",Policy!$B$5,Policy!$B$6)),"")</f>
        <v/>
      </c>
      <c r="P35" s="16" t="str">
        <f aca="false">IF(O35="","",O35*Policy!$B$3*Policy!$B$2)</f>
        <v/>
      </c>
      <c r="Q35" s="17" t="n">
        <v>0.0439296113432079</v>
      </c>
      <c r="R35" s="17" t="n">
        <v>0.132225731154744</v>
      </c>
      <c r="S35" s="18" t="n">
        <v>0.524706791164044</v>
      </c>
    </row>
    <row r="36" customFormat="false" ht="15" hidden="false" customHeight="false" outlineLevel="0" collapsed="false">
      <c r="A36" s="10" t="s">
        <v>177</v>
      </c>
      <c r="B36" s="10" t="s">
        <v>178</v>
      </c>
      <c r="C36" s="10" t="s">
        <v>85</v>
      </c>
      <c r="D36" s="10" t="s">
        <v>179</v>
      </c>
      <c r="E36" s="10" t="s">
        <v>74</v>
      </c>
      <c r="F36" s="20" t="s">
        <v>157</v>
      </c>
      <c r="G36" s="12" t="s">
        <v>158</v>
      </c>
      <c r="H36" s="13" t="n">
        <v>28.33</v>
      </c>
      <c r="I36" s="13"/>
      <c r="J36" s="13"/>
      <c r="K36" s="13"/>
      <c r="L36" s="14" t="str">
        <f aca="false">IF(K36="","",K36*(1-Policy!$B$7))</f>
        <v/>
      </c>
      <c r="M36" s="14" t="n">
        <v>28.391</v>
      </c>
      <c r="N36" s="15" t="str">
        <f aca="false">IF(L36="","",H36/L36-1)</f>
        <v/>
      </c>
      <c r="O36" s="15" t="str">
        <f aca="false">IF(AND(F36="Accumulate",N36&lt;&gt;"",N36&gt;0),MIN(Policy!$B$4/N36,IF(E36="Stock",Policy!$B$5,Policy!$B$6)),"")</f>
        <v/>
      </c>
      <c r="P36" s="16" t="str">
        <f aca="false">IF(O36="","",O36*Policy!$B$3*Policy!$B$2)</f>
        <v/>
      </c>
      <c r="Q36" s="17" t="n">
        <v>0.0201656463809867</v>
      </c>
      <c r="R36" s="17" t="n">
        <v>0.0763677811550152</v>
      </c>
      <c r="S36" s="18" t="n">
        <v>0.480045687699469</v>
      </c>
    </row>
    <row r="37" customFormat="false" ht="15" hidden="false" customHeight="false" outlineLevel="0" collapsed="false">
      <c r="A37" s="10" t="s">
        <v>180</v>
      </c>
      <c r="B37" s="10" t="s">
        <v>181</v>
      </c>
      <c r="C37" s="10" t="s">
        <v>79</v>
      </c>
      <c r="D37" s="10" t="s">
        <v>92</v>
      </c>
      <c r="E37" s="10" t="s">
        <v>74</v>
      </c>
      <c r="F37" s="20" t="s">
        <v>157</v>
      </c>
      <c r="G37" s="12" t="s">
        <v>158</v>
      </c>
      <c r="H37" s="13" t="n">
        <v>10.266</v>
      </c>
      <c r="I37" s="13"/>
      <c r="J37" s="13"/>
      <c r="K37" s="13"/>
      <c r="L37" s="14" t="str">
        <f aca="false">IF(K37="","",K37*(1-Policy!$B$7))</f>
        <v/>
      </c>
      <c r="M37" s="14" t="n">
        <v>10.4624</v>
      </c>
      <c r="N37" s="15" t="str">
        <f aca="false">IF(L37="","",H37/L37-1)</f>
        <v/>
      </c>
      <c r="O37" s="15" t="str">
        <f aca="false">IF(AND(F37="Accumulate",N37&lt;&gt;"",N37&gt;0),MIN(Policy!$B$4/N37,IF(E37="Stock",Policy!$B$5,Policy!$B$6)),"")</f>
        <v/>
      </c>
      <c r="P37" s="16" t="str">
        <f aca="false">IF(O37="","",O37*Policy!$B$3*Policy!$B$2)</f>
        <v/>
      </c>
      <c r="Q37" s="17" t="n">
        <v>0.00293083235638925</v>
      </c>
      <c r="R37" s="17" t="n">
        <v>0.118788142981691</v>
      </c>
      <c r="S37" s="18" t="n">
        <v>0.476931852397889</v>
      </c>
    </row>
    <row r="38" customFormat="false" ht="15" hidden="false" customHeight="false" outlineLevel="0" collapsed="false">
      <c r="A38" s="10" t="s">
        <v>182</v>
      </c>
      <c r="B38" s="10" t="s">
        <v>183</v>
      </c>
      <c r="C38" s="10" t="s">
        <v>156</v>
      </c>
      <c r="D38" s="10" t="s">
        <v>176</v>
      </c>
      <c r="E38" s="10" t="s">
        <v>80</v>
      </c>
      <c r="F38" s="20" t="s">
        <v>157</v>
      </c>
      <c r="G38" s="12" t="s">
        <v>158</v>
      </c>
      <c r="H38" s="13" t="n">
        <v>10.42</v>
      </c>
      <c r="I38" s="13"/>
      <c r="J38" s="13"/>
      <c r="K38" s="13"/>
      <c r="L38" s="14" t="str">
        <f aca="false">IF(K38="","",K38*(1-Policy!$B$7))</f>
        <v/>
      </c>
      <c r="M38" s="14" t="n">
        <v>10.601</v>
      </c>
      <c r="N38" s="15" t="str">
        <f aca="false">IF(L38="","",H38/L38-1)</f>
        <v/>
      </c>
      <c r="O38" s="15" t="str">
        <f aca="false">IF(AND(F38="Accumulate",N38&lt;&gt;"",N38&gt;0),MIN(Policy!$B$4/N38,IF(E38="Stock",Policy!$B$5,Policy!$B$6)),"")</f>
        <v/>
      </c>
      <c r="P38" s="16" t="str">
        <f aca="false">IF(O38="","",O38*Policy!$B$3*Policy!$B$2)</f>
        <v/>
      </c>
      <c r="Q38" s="17" t="n">
        <v>-0.0492700729927008</v>
      </c>
      <c r="R38" s="17" t="n">
        <v>0.218713450292398</v>
      </c>
      <c r="S38" s="18" t="n">
        <v>0.328190574984045</v>
      </c>
    </row>
    <row r="39" customFormat="false" ht="15" hidden="false" customHeight="false" outlineLevel="0" collapsed="false">
      <c r="A39" s="10" t="s">
        <v>184</v>
      </c>
      <c r="B39" s="10" t="s">
        <v>185</v>
      </c>
      <c r="C39" s="10" t="s">
        <v>72</v>
      </c>
      <c r="D39" s="10" t="s">
        <v>165</v>
      </c>
      <c r="E39" s="10" t="s">
        <v>74</v>
      </c>
      <c r="F39" s="20" t="s">
        <v>157</v>
      </c>
      <c r="G39" s="12" t="s">
        <v>158</v>
      </c>
      <c r="H39" s="13" t="n">
        <v>49.43</v>
      </c>
      <c r="I39" s="13"/>
      <c r="J39" s="13"/>
      <c r="K39" s="13"/>
      <c r="L39" s="14" t="str">
        <f aca="false">IF(K39="","",K39*(1-Policy!$B$7))</f>
        <v/>
      </c>
      <c r="M39" s="14" t="n">
        <v>51.359</v>
      </c>
      <c r="N39" s="15" t="str">
        <f aca="false">IF(L39="","",H39/L39-1)</f>
        <v/>
      </c>
      <c r="O39" s="15" t="str">
        <f aca="false">IF(AND(F39="Accumulate",N39&lt;&gt;"",N39&gt;0),MIN(Policy!$B$4/N39,IF(E39="Stock",Policy!$B$5,Policy!$B$6)),"")</f>
        <v/>
      </c>
      <c r="P39" s="16" t="str">
        <f aca="false">IF(O39="","",O39*Policy!$B$3*Policy!$B$2)</f>
        <v/>
      </c>
      <c r="Q39" s="17" t="n">
        <v>-0.0286893299272942</v>
      </c>
      <c r="R39" s="17" t="n">
        <v>0.124943104233045</v>
      </c>
      <c r="S39" s="18" t="n">
        <v>0.280774822339683</v>
      </c>
    </row>
    <row r="40" customFormat="false" ht="15" hidden="false" customHeight="false" outlineLevel="0" collapsed="false">
      <c r="A40" s="10" t="s">
        <v>186</v>
      </c>
      <c r="B40" s="10" t="s">
        <v>187</v>
      </c>
      <c r="C40" s="10" t="s">
        <v>79</v>
      </c>
      <c r="D40" s="10" t="s">
        <v>188</v>
      </c>
      <c r="E40" s="10" t="s">
        <v>80</v>
      </c>
      <c r="F40" s="20" t="s">
        <v>157</v>
      </c>
      <c r="G40" s="12" t="s">
        <v>158</v>
      </c>
      <c r="H40" s="13" t="n">
        <v>13.844</v>
      </c>
      <c r="I40" s="13"/>
      <c r="J40" s="13"/>
      <c r="K40" s="13"/>
      <c r="L40" s="14" t="str">
        <f aca="false">IF(K40="","",K40*(1-Policy!$B$7))</f>
        <v/>
      </c>
      <c r="M40" s="14" t="n">
        <v>14.8358</v>
      </c>
      <c r="N40" s="15" t="str">
        <f aca="false">IF(L40="","",H40/L40-1)</f>
        <v/>
      </c>
      <c r="O40" s="15" t="str">
        <f aca="false">IF(AND(F40="Accumulate",N40&lt;&gt;"",N40&gt;0),MIN(Policy!$B$4/N40,IF(E40="Stock",Policy!$B$5,Policy!$B$6)),"")</f>
        <v/>
      </c>
      <c r="P40" s="16" t="str">
        <f aca="false">IF(O40="","",O40*Policy!$B$3*Policy!$B$2)</f>
        <v/>
      </c>
      <c r="Q40" s="17" t="n">
        <v>-0.0321588366890381</v>
      </c>
      <c r="R40" s="17" t="n">
        <v>0.218661971830986</v>
      </c>
      <c r="S40" s="18" t="n">
        <v>0.266623577544984</v>
      </c>
    </row>
    <row r="41" customFormat="false" ht="15" hidden="false" customHeight="false" outlineLevel="0" collapsed="false">
      <c r="A41" s="10" t="s">
        <v>189</v>
      </c>
      <c r="B41" s="10" t="s">
        <v>190</v>
      </c>
      <c r="C41" s="10" t="s">
        <v>79</v>
      </c>
      <c r="D41" s="10" t="s">
        <v>133</v>
      </c>
      <c r="E41" s="10" t="s">
        <v>80</v>
      </c>
      <c r="F41" s="20" t="s">
        <v>157</v>
      </c>
      <c r="G41" s="12" t="s">
        <v>158</v>
      </c>
      <c r="H41" s="13" t="n">
        <v>1.016</v>
      </c>
      <c r="I41" s="13"/>
      <c r="J41" s="13"/>
      <c r="K41" s="13"/>
      <c r="L41" s="14" t="str">
        <f aca="false">IF(K41="","",K41*(1-Policy!$B$7))</f>
        <v/>
      </c>
      <c r="M41" s="14" t="n">
        <v>1.09728</v>
      </c>
      <c r="N41" s="15" t="str">
        <f aca="false">IF(L41="","",H41/L41-1)</f>
        <v/>
      </c>
      <c r="O41" s="15" t="str">
        <f aca="false">IF(AND(F41="Accumulate",N41&lt;&gt;"",N41&gt;0),MIN(Policy!$B$4/N41,IF(E41="Stock",Policy!$B$5,Policy!$B$6)),"")</f>
        <v/>
      </c>
      <c r="P41" s="16" t="str">
        <f aca="false">IF(O41="","",O41*Policy!$B$3*Policy!$B$2)</f>
        <v/>
      </c>
      <c r="Q41" s="17" t="n">
        <v>-0.0939896557874086</v>
      </c>
      <c r="R41" s="17" t="n">
        <v>0.222917669715937</v>
      </c>
      <c r="S41" s="18" t="n">
        <v>0.245874554574952</v>
      </c>
    </row>
    <row r="42" customFormat="false" ht="15" hidden="false" customHeight="false" outlineLevel="0" collapsed="false">
      <c r="A42" s="10" t="s">
        <v>191</v>
      </c>
      <c r="B42" s="10" t="s">
        <v>192</v>
      </c>
      <c r="C42" s="10" t="s">
        <v>72</v>
      </c>
      <c r="D42" s="10" t="s">
        <v>133</v>
      </c>
      <c r="E42" s="10" t="s">
        <v>80</v>
      </c>
      <c r="F42" s="20" t="s">
        <v>157</v>
      </c>
      <c r="G42" s="12" t="s">
        <v>158</v>
      </c>
      <c r="H42" s="13" t="n">
        <v>332.99</v>
      </c>
      <c r="I42" s="13"/>
      <c r="J42" s="13"/>
      <c r="K42" s="13"/>
      <c r="L42" s="14" t="str">
        <f aca="false">IF(K42="","",K42*(1-Policy!$B$7))</f>
        <v/>
      </c>
      <c r="M42" s="14" t="n">
        <v>350.253</v>
      </c>
      <c r="N42" s="15" t="str">
        <f aca="false">IF(L42="","",H42/L42-1)</f>
        <v/>
      </c>
      <c r="O42" s="15" t="str">
        <f aca="false">IF(AND(F42="Accumulate",N42&lt;&gt;"",N42&gt;0),MIN(Policy!$B$4/N42,IF(E42="Stock",Policy!$B$5,Policy!$B$6)),"")</f>
        <v/>
      </c>
      <c r="P42" s="16" t="str">
        <f aca="false">IF(O42="","",O42*Policy!$B$3*Policy!$B$2)</f>
        <v/>
      </c>
      <c r="Q42" s="17" t="n">
        <v>-0.0103426754242578</v>
      </c>
      <c r="R42" s="17" t="n">
        <v>0.106683505600053</v>
      </c>
      <c r="S42" s="18" t="n">
        <v>0.243124981433421</v>
      </c>
    </row>
    <row r="43" customFormat="false" ht="15" hidden="false" customHeight="false" outlineLevel="0" collapsed="false">
      <c r="A43" s="10" t="s">
        <v>193</v>
      </c>
      <c r="B43" s="10" t="s">
        <v>194</v>
      </c>
      <c r="C43" s="10" t="s">
        <v>72</v>
      </c>
      <c r="D43" s="10" t="s">
        <v>176</v>
      </c>
      <c r="E43" s="10" t="s">
        <v>74</v>
      </c>
      <c r="F43" s="20" t="s">
        <v>157</v>
      </c>
      <c r="G43" s="12" t="s">
        <v>158</v>
      </c>
      <c r="H43" s="13" t="n">
        <v>169.25</v>
      </c>
      <c r="I43" s="13"/>
      <c r="J43" s="13"/>
      <c r="K43" s="13"/>
      <c r="L43" s="14" t="str">
        <f aca="false">IF(K43="","",K43*(1-Policy!$B$7))</f>
        <v/>
      </c>
      <c r="M43" s="14" t="n">
        <v>175.61</v>
      </c>
      <c r="N43" s="15" t="str">
        <f aca="false">IF(L43="","",H43/L43-1)</f>
        <v/>
      </c>
      <c r="O43" s="15" t="str">
        <f aca="false">IF(AND(F43="Accumulate",N43&lt;&gt;"",N43&gt;0),MIN(Policy!$B$4/N43,IF(E43="Stock",Policy!$B$5,Policy!$B$6)),"")</f>
        <v/>
      </c>
      <c r="P43" s="16" t="str">
        <f aca="false">IF(O43="","",O43*Policy!$B$3*Policy!$B$2)</f>
        <v/>
      </c>
      <c r="Q43" s="17" t="n">
        <v>-0.0696459982409849</v>
      </c>
      <c r="R43" s="17" t="n">
        <v>0.129086057371581</v>
      </c>
      <c r="S43" s="18" t="n">
        <v>0.220499134752011</v>
      </c>
    </row>
    <row r="44" customFormat="false" ht="15" hidden="false" customHeight="false" outlineLevel="0" collapsed="false">
      <c r="A44" s="10" t="s">
        <v>195</v>
      </c>
      <c r="B44" s="10" t="s">
        <v>196</v>
      </c>
      <c r="C44" s="10" t="s">
        <v>72</v>
      </c>
      <c r="D44" s="10" t="s">
        <v>197</v>
      </c>
      <c r="E44" s="10" t="s">
        <v>74</v>
      </c>
      <c r="F44" s="20" t="s">
        <v>157</v>
      </c>
      <c r="G44" s="12" t="s">
        <v>158</v>
      </c>
      <c r="H44" s="13" t="n">
        <v>54.73</v>
      </c>
      <c r="I44" s="13"/>
      <c r="J44" s="13"/>
      <c r="K44" s="13"/>
      <c r="L44" s="14" t="str">
        <f aca="false">IF(K44="","",K44*(1-Policy!$B$7))</f>
        <v/>
      </c>
      <c r="M44" s="14" t="n">
        <v>56.561</v>
      </c>
      <c r="N44" s="15" t="str">
        <f aca="false">IF(L44="","",H44/L44-1)</f>
        <v/>
      </c>
      <c r="O44" s="15" t="str">
        <f aca="false">IF(AND(F44="Accumulate",N44&lt;&gt;"",N44&gt;0),MIN(Policy!$B$4/N44,IF(E44="Stock",Policy!$B$5,Policy!$B$6)),"")</f>
        <v/>
      </c>
      <c r="P44" s="16" t="str">
        <f aca="false">IF(O44="","",O44*Policy!$B$3*Policy!$B$2)</f>
        <v/>
      </c>
      <c r="Q44" s="17" t="n">
        <v>-0.0175910967510322</v>
      </c>
      <c r="R44" s="17" t="n">
        <v>0.049271472392638</v>
      </c>
      <c r="S44" s="18" t="n">
        <v>0.115336668076563</v>
      </c>
    </row>
    <row r="45" customFormat="false" ht="15" hidden="false" customHeight="false" outlineLevel="0" collapsed="false">
      <c r="A45" s="10" t="s">
        <v>198</v>
      </c>
      <c r="B45" s="10" t="s">
        <v>199</v>
      </c>
      <c r="C45" s="10" t="s">
        <v>156</v>
      </c>
      <c r="D45" s="10" t="s">
        <v>133</v>
      </c>
      <c r="E45" s="10" t="s">
        <v>80</v>
      </c>
      <c r="F45" s="20" t="s">
        <v>157</v>
      </c>
      <c r="G45" s="12" t="s">
        <v>158</v>
      </c>
      <c r="H45" s="13" t="n">
        <v>39.96</v>
      </c>
      <c r="I45" s="13"/>
      <c r="J45" s="13"/>
      <c r="K45" s="13"/>
      <c r="L45" s="14" t="str">
        <f aca="false">IF(K45="","",K45*(1-Policy!$B$7))</f>
        <v/>
      </c>
      <c r="M45" s="14" t="n">
        <v>41.71</v>
      </c>
      <c r="N45" s="15" t="str">
        <f aca="false">IF(L45="","",H45/L45-1)</f>
        <v/>
      </c>
      <c r="O45" s="15" t="str">
        <f aca="false">IF(AND(F45="Accumulate",N45&lt;&gt;"",N45&gt;0),MIN(Policy!$B$4/N45,IF(E45="Stock",Policy!$B$5,Policy!$B$6)),"")</f>
        <v/>
      </c>
      <c r="P45" s="16" t="str">
        <f aca="false">IF(O45="","",O45*Policy!$B$3*Policy!$B$2)</f>
        <v/>
      </c>
      <c r="Q45" s="17" t="n">
        <v>-0.0995944118972511</v>
      </c>
      <c r="R45" s="17" t="n">
        <v>0.13105009906595</v>
      </c>
      <c r="S45" s="18" t="n">
        <v>0.0790891842660669</v>
      </c>
    </row>
    <row r="46" customFormat="false" ht="15" hidden="false" customHeight="false" outlineLevel="0" collapsed="false">
      <c r="A46" s="10" t="s">
        <v>200</v>
      </c>
      <c r="B46" s="10" t="s">
        <v>201</v>
      </c>
      <c r="C46" s="10" t="s">
        <v>72</v>
      </c>
      <c r="D46" s="10" t="s">
        <v>107</v>
      </c>
      <c r="E46" s="10" t="s">
        <v>80</v>
      </c>
      <c r="F46" s="20" t="s">
        <v>157</v>
      </c>
      <c r="G46" s="12" t="s">
        <v>158</v>
      </c>
      <c r="H46" s="13" t="n">
        <v>361.54</v>
      </c>
      <c r="I46" s="13"/>
      <c r="J46" s="13"/>
      <c r="K46" s="13"/>
      <c r="L46" s="14" t="str">
        <f aca="false">IF(K46="","",K46*(1-Policy!$B$7))</f>
        <v/>
      </c>
      <c r="M46" s="14" t="n">
        <v>370.497</v>
      </c>
      <c r="N46" s="15" t="str">
        <f aca="false">IF(L46="","",H46/L46-1)</f>
        <v/>
      </c>
      <c r="O46" s="15" t="str">
        <f aca="false">IF(AND(F46="Accumulate",N46&lt;&gt;"",N46&gt;0),MIN(Policy!$B$4/N46,IF(E46="Stock",Policy!$B$5,Policy!$B$6)),"")</f>
        <v/>
      </c>
      <c r="P46" s="16" t="str">
        <f aca="false">IF(O46="","",O46*Policy!$B$3*Policy!$B$2)</f>
        <v/>
      </c>
      <c r="Q46" s="17" t="n">
        <v>-0.0960822061654624</v>
      </c>
      <c r="R46" s="17" t="n">
        <v>0.113698672334658</v>
      </c>
      <c r="S46" s="18" t="n">
        <v>0.0193447892459659</v>
      </c>
    </row>
    <row r="47" customFormat="false" ht="15" hidden="false" customHeight="false" outlineLevel="0" collapsed="false">
      <c r="A47" s="10" t="s">
        <v>202</v>
      </c>
      <c r="B47" s="10" t="s">
        <v>203</v>
      </c>
      <c r="C47" s="10" t="s">
        <v>79</v>
      </c>
      <c r="D47" s="10" t="s">
        <v>133</v>
      </c>
      <c r="E47" s="10" t="s">
        <v>80</v>
      </c>
      <c r="F47" s="20" t="s">
        <v>157</v>
      </c>
      <c r="G47" s="12" t="s">
        <v>158</v>
      </c>
      <c r="H47" s="13" t="n">
        <v>4.303</v>
      </c>
      <c r="I47" s="13"/>
      <c r="J47" s="13"/>
      <c r="K47" s="13"/>
      <c r="L47" s="14" t="str">
        <f aca="false">IF(K47="","",K47*(1-Policy!$B$7))</f>
        <v/>
      </c>
      <c r="M47" s="14" t="n">
        <v>4.81488</v>
      </c>
      <c r="N47" s="15" t="str">
        <f aca="false">IF(L47="","",H47/L47-1)</f>
        <v/>
      </c>
      <c r="O47" s="15" t="str">
        <f aca="false">IF(AND(F47="Accumulate",N47&lt;&gt;"",N47&gt;0),MIN(Policy!$B$4/N47,IF(E47="Stock",Policy!$B$5,Policy!$B$6)),"")</f>
        <v/>
      </c>
      <c r="P47" s="16" t="str">
        <f aca="false">IF(O47="","",O47*Policy!$B$3*Policy!$B$2)</f>
        <v/>
      </c>
      <c r="Q47" s="17" t="n">
        <v>-0.160554038236442</v>
      </c>
      <c r="R47" s="17" t="n">
        <v>0.155043753690879</v>
      </c>
      <c r="S47" s="18" t="n">
        <v>-0.00931216328680552</v>
      </c>
    </row>
    <row r="48" customFormat="false" ht="15" hidden="false" customHeight="false" outlineLevel="0" collapsed="false">
      <c r="A48" s="10" t="s">
        <v>204</v>
      </c>
      <c r="B48" s="10" t="s">
        <v>205</v>
      </c>
      <c r="C48" s="10" t="s">
        <v>85</v>
      </c>
      <c r="D48" s="10" t="s">
        <v>206</v>
      </c>
      <c r="E48" s="10" t="s">
        <v>74</v>
      </c>
      <c r="F48" s="20" t="s">
        <v>157</v>
      </c>
      <c r="G48" s="12" t="s">
        <v>158</v>
      </c>
      <c r="H48" s="13" t="n">
        <v>11.01</v>
      </c>
      <c r="I48" s="13"/>
      <c r="J48" s="13"/>
      <c r="K48" s="13"/>
      <c r="L48" s="14" t="str">
        <f aca="false">IF(K48="","",K48*(1-Policy!$B$7))</f>
        <v/>
      </c>
      <c r="M48" s="14" t="n">
        <v>11.3504878048781</v>
      </c>
      <c r="N48" s="15" t="str">
        <f aca="false">IF(L48="","",H48/L48-1)</f>
        <v/>
      </c>
      <c r="O48" s="15" t="str">
        <f aca="false">IF(AND(F48="Accumulate",N48&lt;&gt;"",N48&gt;0),MIN(Policy!$B$4/N48,IF(E48="Stock",Policy!$B$5,Policy!$B$6)),"")</f>
        <v/>
      </c>
      <c r="P48" s="16" t="str">
        <f aca="false">IF(O48="","",O48*Policy!$B$3*Policy!$B$2)</f>
        <v/>
      </c>
      <c r="Q48" s="17" t="n">
        <v>0.0386792452830189</v>
      </c>
      <c r="R48" s="17" t="n">
        <v>-0.10705596107056</v>
      </c>
      <c r="S48" s="18" t="n">
        <v>-0.0540622875122861</v>
      </c>
    </row>
    <row r="49" customFormat="false" ht="15" hidden="false" customHeight="false" outlineLevel="0" collapsed="false">
      <c r="A49" s="10" t="s">
        <v>207</v>
      </c>
      <c r="B49" s="10" t="s">
        <v>208</v>
      </c>
      <c r="C49" s="10" t="s">
        <v>79</v>
      </c>
      <c r="D49" s="10" t="s">
        <v>209</v>
      </c>
      <c r="E49" s="10" t="s">
        <v>80</v>
      </c>
      <c r="F49" s="20" t="s">
        <v>157</v>
      </c>
      <c r="G49" s="12" t="s">
        <v>158</v>
      </c>
      <c r="H49" s="13" t="n">
        <v>86.84</v>
      </c>
      <c r="I49" s="13"/>
      <c r="J49" s="13"/>
      <c r="K49" s="13"/>
      <c r="L49" s="14" t="str">
        <f aca="false">IF(K49="","",K49*(1-Policy!$B$7))</f>
        <v/>
      </c>
      <c r="M49" s="14" t="n">
        <v>87.2585365853659</v>
      </c>
      <c r="N49" s="15" t="str">
        <f aca="false">IF(L49="","",H49/L49-1)</f>
        <v/>
      </c>
      <c r="O49" s="15" t="str">
        <f aca="false">IF(AND(F49="Accumulate",N49&lt;&gt;"",N49&gt;0),MIN(Policy!$B$4/N49,IF(E49="Stock",Policy!$B$5,Policy!$B$6)),"")</f>
        <v/>
      </c>
      <c r="P49" s="16" t="str">
        <f aca="false">IF(O49="","",O49*Policy!$B$3*Policy!$B$2)</f>
        <v/>
      </c>
      <c r="Q49" s="17" t="n">
        <v>-0.0233918128654971</v>
      </c>
      <c r="R49" s="17" t="n">
        <v>-0.0154195011337869</v>
      </c>
      <c r="S49" s="18" t="n">
        <v>-0.055426995071268</v>
      </c>
    </row>
    <row r="50" customFormat="false" ht="15" hidden="false" customHeight="false" outlineLevel="0" collapsed="false">
      <c r="A50" s="10" t="s">
        <v>210</v>
      </c>
      <c r="B50" s="10" t="s">
        <v>211</v>
      </c>
      <c r="C50" s="10" t="s">
        <v>79</v>
      </c>
      <c r="D50" s="10" t="s">
        <v>212</v>
      </c>
      <c r="E50" s="10" t="s">
        <v>80</v>
      </c>
      <c r="F50" s="20" t="s">
        <v>157</v>
      </c>
      <c r="G50" s="12" t="s">
        <v>158</v>
      </c>
      <c r="H50" s="13" t="n">
        <v>18.574</v>
      </c>
      <c r="I50" s="13"/>
      <c r="J50" s="13"/>
      <c r="K50" s="13"/>
      <c r="L50" s="14" t="str">
        <f aca="false">IF(K50="","",K50*(1-Policy!$B$7))</f>
        <v/>
      </c>
      <c r="M50" s="14" t="n">
        <v>20.2704</v>
      </c>
      <c r="N50" s="15" t="str">
        <f aca="false">IF(L50="","",H50/L50-1)</f>
        <v/>
      </c>
      <c r="O50" s="15" t="str">
        <f aca="false">IF(AND(F50="Accumulate",N50&lt;&gt;"",N50&gt;0),MIN(Policy!$B$4/N50,IF(E50="Stock",Policy!$B$5,Policy!$B$6)),"")</f>
        <v/>
      </c>
      <c r="P50" s="16" t="str">
        <f aca="false">IF(O50="","",O50*Policy!$B$3*Policy!$B$2)</f>
        <v/>
      </c>
      <c r="Q50" s="17" t="n">
        <v>0.00345759049162608</v>
      </c>
      <c r="R50" s="17" t="n">
        <v>-0.0656941649899395</v>
      </c>
      <c r="S50" s="18" t="n">
        <v>-0.0793167183981112</v>
      </c>
    </row>
    <row r="51" customFormat="false" ht="15" hidden="false" customHeight="false" outlineLevel="0" collapsed="false">
      <c r="A51" s="10" t="s">
        <v>213</v>
      </c>
      <c r="B51" s="10" t="s">
        <v>214</v>
      </c>
      <c r="C51" s="10" t="s">
        <v>72</v>
      </c>
      <c r="D51" s="10" t="s">
        <v>215</v>
      </c>
      <c r="E51" s="10" t="s">
        <v>74</v>
      </c>
      <c r="F51" s="20" t="s">
        <v>157</v>
      </c>
      <c r="G51" s="12" t="s">
        <v>158</v>
      </c>
      <c r="H51" s="13" t="n">
        <v>41.61</v>
      </c>
      <c r="I51" s="13"/>
      <c r="J51" s="13"/>
      <c r="K51" s="13"/>
      <c r="L51" s="14" t="str">
        <f aca="false">IF(K51="","",K51*(1-Policy!$B$7))</f>
        <v/>
      </c>
      <c r="M51" s="14" t="n">
        <v>43.367</v>
      </c>
      <c r="N51" s="15" t="str">
        <f aca="false">IF(L51="","",H51/L51-1)</f>
        <v/>
      </c>
      <c r="O51" s="15" t="str">
        <f aca="false">IF(AND(F51="Accumulate",N51&lt;&gt;"",N51&gt;0),MIN(Policy!$B$4/N51,IF(E51="Stock",Policy!$B$5,Policy!$B$6)),"")</f>
        <v/>
      </c>
      <c r="P51" s="16" t="str">
        <f aca="false">IF(O51="","",O51*Policy!$B$3*Policy!$B$2)</f>
        <v/>
      </c>
      <c r="Q51" s="17" t="n">
        <v>-0.0638920134983128</v>
      </c>
      <c r="R51" s="17" t="n">
        <v>0.0228613569321534</v>
      </c>
      <c r="S51" s="18" t="n">
        <v>-0.136293334939637</v>
      </c>
    </row>
    <row r="52" customFormat="false" ht="15" hidden="false" customHeight="false" outlineLevel="0" collapsed="false">
      <c r="A52" s="10" t="s">
        <v>216</v>
      </c>
      <c r="B52" s="10" t="s">
        <v>217</v>
      </c>
      <c r="C52" s="10" t="s">
        <v>170</v>
      </c>
      <c r="D52" s="10" t="s">
        <v>215</v>
      </c>
      <c r="E52" s="10" t="s">
        <v>80</v>
      </c>
      <c r="F52" s="20" t="s">
        <v>157</v>
      </c>
      <c r="G52" s="12" t="s">
        <v>158</v>
      </c>
      <c r="H52" s="13" t="n">
        <v>37.32</v>
      </c>
      <c r="I52" s="13"/>
      <c r="J52" s="13"/>
      <c r="K52" s="13"/>
      <c r="L52" s="14" t="str">
        <f aca="false">IF(K52="","",K52*(1-Policy!$B$7))</f>
        <v/>
      </c>
      <c r="M52" s="14" t="n">
        <v>38.088</v>
      </c>
      <c r="N52" s="15" t="str">
        <f aca="false">IF(L52="","",H52/L52-1)</f>
        <v/>
      </c>
      <c r="O52" s="15" t="str">
        <f aca="false">IF(AND(F52="Accumulate",N52&lt;&gt;"",N52&gt;0),MIN(Policy!$B$4/N52,IF(E52="Stock",Policy!$B$5,Policy!$B$6)),"")</f>
        <v/>
      </c>
      <c r="P52" s="16" t="str">
        <f aca="false">IF(O52="","",O52*Policy!$B$3*Policy!$B$2)</f>
        <v/>
      </c>
      <c r="Q52" s="17" t="n">
        <v>-0.00320512820512808</v>
      </c>
      <c r="R52" s="17" t="n">
        <v>-0.0866372980910426</v>
      </c>
      <c r="S52" s="18" t="n">
        <v>-0.18924845217083</v>
      </c>
    </row>
    <row r="53" customFormat="false" ht="15" hidden="false" customHeight="false" outlineLevel="0" collapsed="false">
      <c r="A53" s="10" t="s">
        <v>218</v>
      </c>
      <c r="B53" s="10" t="s">
        <v>219</v>
      </c>
      <c r="C53" s="10" t="s">
        <v>79</v>
      </c>
      <c r="D53" s="10" t="s">
        <v>101</v>
      </c>
      <c r="E53" s="10" t="s">
        <v>80</v>
      </c>
      <c r="F53" s="20" t="s">
        <v>157</v>
      </c>
      <c r="G53" s="12" t="s">
        <v>158</v>
      </c>
      <c r="H53" s="13" t="n">
        <v>120.24</v>
      </c>
      <c r="I53" s="13"/>
      <c r="J53" s="13"/>
      <c r="K53" s="13"/>
      <c r="L53" s="14" t="str">
        <f aca="false">IF(K53="","",K53*(1-Policy!$B$7))</f>
        <v/>
      </c>
      <c r="M53" s="14" t="n">
        <v>135.113170731707</v>
      </c>
      <c r="N53" s="15" t="str">
        <f aca="false">IF(L53="","",H53/L53-1)</f>
        <v/>
      </c>
      <c r="O53" s="15" t="str">
        <f aca="false">IF(AND(F53="Accumulate",N53&lt;&gt;"",N53&gt;0),MIN(Policy!$B$4/N53,IF(E53="Stock",Policy!$B$5,Policy!$B$6)),"")</f>
        <v/>
      </c>
      <c r="P53" s="16" t="str">
        <f aca="false">IF(O53="","",O53*Policy!$B$3*Policy!$B$2)</f>
        <v/>
      </c>
      <c r="Q53" s="17" t="n">
        <v>-0.0687732342007436</v>
      </c>
      <c r="R53" s="17" t="n">
        <v>-0.0576802507836991</v>
      </c>
      <c r="S53" s="18" t="n">
        <v>-0.234010297001579</v>
      </c>
    </row>
    <row r="54" customFormat="false" ht="15" hidden="false" customHeight="false" outlineLevel="0" collapsed="false">
      <c r="A54" s="10" t="s">
        <v>220</v>
      </c>
      <c r="B54" s="10" t="s">
        <v>221</v>
      </c>
      <c r="C54" s="10" t="s">
        <v>156</v>
      </c>
      <c r="D54" s="10" t="s">
        <v>222</v>
      </c>
      <c r="E54" s="10" t="s">
        <v>80</v>
      </c>
      <c r="F54" s="20" t="s">
        <v>157</v>
      </c>
      <c r="G54" s="12" t="s">
        <v>158</v>
      </c>
      <c r="H54" s="13" t="n">
        <v>3.98</v>
      </c>
      <c r="I54" s="13"/>
      <c r="J54" s="13"/>
      <c r="K54" s="13"/>
      <c r="L54" s="14" t="str">
        <f aca="false">IF(K54="","",K54*(1-Policy!$B$7))</f>
        <v/>
      </c>
      <c r="M54" s="14" t="n">
        <v>4.074</v>
      </c>
      <c r="N54" s="15" t="str">
        <f aca="false">IF(L54="","",H54/L54-1)</f>
        <v/>
      </c>
      <c r="O54" s="15" t="str">
        <f aca="false">IF(AND(F54="Accumulate",N54&lt;&gt;"",N54&gt;0),MIN(Policy!$B$4/N54,IF(E54="Stock",Policy!$B$5,Policy!$B$6)),"")</f>
        <v/>
      </c>
      <c r="P54" s="16" t="str">
        <f aca="false">IF(O54="","",O54*Policy!$B$3*Policy!$B$2)</f>
        <v/>
      </c>
      <c r="Q54" s="17" t="n">
        <v>-0.0316301703163018</v>
      </c>
      <c r="R54" s="17" t="n">
        <v>-0.038647342995169</v>
      </c>
      <c r="S54" s="18" t="n">
        <v>-0.436560488438466</v>
      </c>
    </row>
    <row r="55" customFormat="false" ht="23.85" hidden="false" customHeight="false" outlineLevel="0" collapsed="false">
      <c r="A55" s="10" t="s">
        <v>223</v>
      </c>
      <c r="B55" s="10" t="s">
        <v>224</v>
      </c>
      <c r="C55" s="10" t="s">
        <v>72</v>
      </c>
      <c r="D55" s="10" t="s">
        <v>153</v>
      </c>
      <c r="E55" s="10" t="s">
        <v>74</v>
      </c>
      <c r="F55" s="21" t="s">
        <v>225</v>
      </c>
      <c r="G55" s="12" t="s">
        <v>226</v>
      </c>
      <c r="H55" s="13" t="n">
        <v>83.43</v>
      </c>
      <c r="I55" s="13"/>
      <c r="J55" s="13"/>
      <c r="K55" s="13"/>
      <c r="L55" s="14" t="str">
        <f aca="false">IF(K55="","",K55*(1-Policy!$B$7))</f>
        <v/>
      </c>
      <c r="M55" s="14" t="n">
        <v>84.030243902439</v>
      </c>
      <c r="N55" s="15" t="str">
        <f aca="false">IF(L55="","",H55/L55-1)</f>
        <v/>
      </c>
      <c r="O55" s="15" t="str">
        <f aca="false">IF(AND(F55="Accumulate",N55&lt;&gt;"",N55&gt;0),MIN(Policy!$B$4/N55,IF(E55="Stock",Policy!$B$5,Policy!$B$6)),"")</f>
        <v/>
      </c>
      <c r="P55" s="16" t="str">
        <f aca="false">IF(O55="","",O55*Policy!$B$3*Policy!$B$2)</f>
        <v/>
      </c>
      <c r="Q55" s="17" t="n">
        <v>-0.00820256776034234</v>
      </c>
      <c r="R55" s="17" t="n">
        <v>0.068245838668374</v>
      </c>
      <c r="S55" s="18" t="n">
        <v>0.220779801431815</v>
      </c>
    </row>
    <row r="56" customFormat="false" ht="23.85" hidden="false" customHeight="false" outlineLevel="0" collapsed="false">
      <c r="A56" s="10" t="s">
        <v>227</v>
      </c>
      <c r="B56" s="10" t="s">
        <v>228</v>
      </c>
      <c r="C56" s="10" t="s">
        <v>85</v>
      </c>
      <c r="D56" s="10" t="s">
        <v>229</v>
      </c>
      <c r="E56" s="10" t="s">
        <v>74</v>
      </c>
      <c r="F56" s="21" t="s">
        <v>225</v>
      </c>
      <c r="G56" s="12" t="s">
        <v>226</v>
      </c>
      <c r="H56" s="13" t="n">
        <v>54.78</v>
      </c>
      <c r="I56" s="13"/>
      <c r="J56" s="13"/>
      <c r="K56" s="13"/>
      <c r="L56" s="14" t="str">
        <f aca="false">IF(K56="","",K56*(1-Policy!$B$7))</f>
        <v/>
      </c>
      <c r="M56" s="14" t="n">
        <v>65.1592682926829</v>
      </c>
      <c r="N56" s="15" t="str">
        <f aca="false">IF(L56="","",H56/L56-1)</f>
        <v/>
      </c>
      <c r="O56" s="15" t="str">
        <f aca="false">IF(AND(F56="Accumulate",N56&lt;&gt;"",N56&gt;0),MIN(Policy!$B$4/N56,IF(E56="Stock",Policy!$B$5,Policy!$B$6)),"")</f>
        <v/>
      </c>
      <c r="P56" s="16" t="str">
        <f aca="false">IF(O56="","",O56*Policy!$B$3*Policy!$B$2)</f>
        <v/>
      </c>
      <c r="Q56" s="17" t="n">
        <v>0.0153846153846153</v>
      </c>
      <c r="R56" s="17" t="n">
        <v>0.205811138014528</v>
      </c>
      <c r="S56" s="18" t="n">
        <v>0.20654356179894</v>
      </c>
    </row>
    <row r="57" customFormat="false" ht="23.85" hidden="false" customHeight="false" outlineLevel="0" collapsed="false">
      <c r="A57" s="10" t="s">
        <v>230</v>
      </c>
      <c r="B57" s="10" t="s">
        <v>231</v>
      </c>
      <c r="C57" s="10" t="s">
        <v>85</v>
      </c>
      <c r="D57" s="10" t="s">
        <v>232</v>
      </c>
      <c r="E57" s="10" t="s">
        <v>74</v>
      </c>
      <c r="F57" s="21" t="s">
        <v>225</v>
      </c>
      <c r="G57" s="12" t="s">
        <v>226</v>
      </c>
      <c r="H57" s="13" t="n">
        <v>384.58</v>
      </c>
      <c r="I57" s="13"/>
      <c r="J57" s="13"/>
      <c r="K57" s="13"/>
      <c r="L57" s="14" t="str">
        <f aca="false">IF(K57="","",K57*(1-Policy!$B$7))</f>
        <v/>
      </c>
      <c r="M57" s="14" t="n">
        <v>415.32512195122</v>
      </c>
      <c r="N57" s="15" t="str">
        <f aca="false">IF(L57="","",H57/L57-1)</f>
        <v/>
      </c>
      <c r="O57" s="15" t="str">
        <f aca="false">IF(AND(F57="Accumulate",N57&lt;&gt;"",N57&gt;0),MIN(Policy!$B$4/N57,IF(E57="Stock",Policy!$B$5,Policy!$B$6)),"")</f>
        <v/>
      </c>
      <c r="P57" s="16" t="str">
        <f aca="false">IF(O57="","",O57*Policy!$B$3*Policy!$B$2)</f>
        <v/>
      </c>
      <c r="Q57" s="17" t="n">
        <v>0.020079042996207</v>
      </c>
      <c r="R57" s="17" t="n">
        <v>0.0418833983528391</v>
      </c>
      <c r="S57" s="18" t="n">
        <v>0.128584143934243</v>
      </c>
    </row>
    <row r="58" customFormat="false" ht="23.85" hidden="false" customHeight="false" outlineLevel="0" collapsed="false">
      <c r="A58" s="10" t="s">
        <v>233</v>
      </c>
      <c r="B58" s="10" t="s">
        <v>234</v>
      </c>
      <c r="C58" s="10" t="s">
        <v>132</v>
      </c>
      <c r="D58" s="10" t="s">
        <v>235</v>
      </c>
      <c r="E58" s="10" t="s">
        <v>80</v>
      </c>
      <c r="F58" s="21" t="s">
        <v>225</v>
      </c>
      <c r="G58" s="12" t="s">
        <v>226</v>
      </c>
      <c r="H58" s="13" t="n">
        <v>52.83</v>
      </c>
      <c r="I58" s="13"/>
      <c r="J58" s="13"/>
      <c r="K58" s="13"/>
      <c r="L58" s="14" t="str">
        <f aca="false">IF(K58="","",K58*(1-Policy!$B$7))</f>
        <v/>
      </c>
      <c r="M58" s="14" t="n">
        <v>57.5041463414634</v>
      </c>
      <c r="N58" s="15" t="str">
        <f aca="false">IF(L58="","",H58/L58-1)</f>
        <v/>
      </c>
      <c r="O58" s="15" t="str">
        <f aca="false">IF(AND(F58="Accumulate",N58&lt;&gt;"",N58&gt;0),MIN(Policy!$B$4/N58,IF(E58="Stock",Policy!$B$5,Policy!$B$6)),"")</f>
        <v/>
      </c>
      <c r="P58" s="16" t="str">
        <f aca="false">IF(O58="","",O58*Policy!$B$3*Policy!$B$2)</f>
        <v/>
      </c>
      <c r="Q58" s="17" t="n">
        <v>0.0677041228779305</v>
      </c>
      <c r="R58" s="17" t="n">
        <v>-0.0487936622254231</v>
      </c>
      <c r="S58" s="18" t="n">
        <v>0.0374850053310838</v>
      </c>
    </row>
    <row r="59" customFormat="false" ht="23.85" hidden="false" customHeight="false" outlineLevel="0" collapsed="false">
      <c r="A59" s="10" t="s">
        <v>236</v>
      </c>
      <c r="B59" s="10" t="s">
        <v>236</v>
      </c>
      <c r="C59" s="10" t="s">
        <v>79</v>
      </c>
      <c r="D59" s="10" t="s">
        <v>101</v>
      </c>
      <c r="E59" s="10" t="s">
        <v>80</v>
      </c>
      <c r="F59" s="21" t="s">
        <v>225</v>
      </c>
      <c r="G59" s="12" t="s">
        <v>226</v>
      </c>
      <c r="H59" s="13" t="n">
        <v>17.544</v>
      </c>
      <c r="I59" s="13"/>
      <c r="J59" s="13"/>
      <c r="K59" s="13"/>
      <c r="L59" s="14" t="str">
        <f aca="false">IF(K59="","",K59*(1-Policy!$B$7))</f>
        <v/>
      </c>
      <c r="M59" s="14" t="n">
        <v>19.4807317073171</v>
      </c>
      <c r="N59" s="15" t="str">
        <f aca="false">IF(L59="","",H59/L59-1)</f>
        <v/>
      </c>
      <c r="O59" s="15" t="str">
        <f aca="false">IF(AND(F59="Accumulate",N59&lt;&gt;"",N59&gt;0),MIN(Policy!$B$4/N59,IF(E59="Stock",Policy!$B$5,Policy!$B$6)),"")</f>
        <v/>
      </c>
      <c r="P59" s="16" t="str">
        <f aca="false">IF(O59="","",O59*Policy!$B$3*Policy!$B$2)</f>
        <v/>
      </c>
      <c r="Q59" s="17" t="n">
        <v>-0.104623864448301</v>
      </c>
      <c r="R59" s="17" t="n">
        <v>0.0793650793650793</v>
      </c>
      <c r="S59" s="18" t="n">
        <v>-0.0425352054570563</v>
      </c>
    </row>
    <row r="60" customFormat="false" ht="23.85" hidden="false" customHeight="false" outlineLevel="0" collapsed="false">
      <c r="A60" s="10" t="s">
        <v>237</v>
      </c>
      <c r="B60" s="10" t="s">
        <v>238</v>
      </c>
      <c r="C60" s="10" t="s">
        <v>79</v>
      </c>
      <c r="D60" s="10" t="s">
        <v>143</v>
      </c>
      <c r="E60" s="10" t="s">
        <v>80</v>
      </c>
      <c r="F60" s="21" t="s">
        <v>225</v>
      </c>
      <c r="G60" s="12" t="s">
        <v>226</v>
      </c>
      <c r="H60" s="13" t="n">
        <v>11.48</v>
      </c>
      <c r="I60" s="13"/>
      <c r="J60" s="13"/>
      <c r="K60" s="13"/>
      <c r="L60" s="14" t="str">
        <f aca="false">IF(K60="","",K60*(1-Policy!$B$7))</f>
        <v/>
      </c>
      <c r="M60" s="14" t="n">
        <v>12.357512195122</v>
      </c>
      <c r="N60" s="15" t="str">
        <f aca="false">IF(L60="","",H60/L60-1)</f>
        <v/>
      </c>
      <c r="O60" s="15" t="str">
        <f aca="false">IF(AND(F60="Accumulate",N60&lt;&gt;"",N60&gt;0),MIN(Policy!$B$4/N60,IF(E60="Stock",Policy!$B$5,Policy!$B$6)),"")</f>
        <v/>
      </c>
      <c r="P60" s="16" t="str">
        <f aca="false">IF(O60="","",O60*Policy!$B$3*Policy!$B$2)</f>
        <v/>
      </c>
      <c r="Q60" s="17" t="n">
        <v>-0.065907241659886</v>
      </c>
      <c r="R60" s="17" t="n">
        <v>0.0394784498370155</v>
      </c>
      <c r="S60" s="18" t="n">
        <v>-0.0562098348034994</v>
      </c>
    </row>
    <row r="61" customFormat="false" ht="23.85" hidden="false" customHeight="false" outlineLevel="0" collapsed="false">
      <c r="A61" s="10" t="s">
        <v>239</v>
      </c>
      <c r="B61" s="10" t="s">
        <v>240</v>
      </c>
      <c r="C61" s="10" t="s">
        <v>170</v>
      </c>
      <c r="D61" s="10" t="s">
        <v>235</v>
      </c>
      <c r="E61" s="10" t="s">
        <v>80</v>
      </c>
      <c r="F61" s="21" t="s">
        <v>225</v>
      </c>
      <c r="G61" s="12" t="s">
        <v>226</v>
      </c>
      <c r="H61" s="13" t="n">
        <v>71.26</v>
      </c>
      <c r="I61" s="13"/>
      <c r="J61" s="13"/>
      <c r="K61" s="13"/>
      <c r="L61" s="14" t="str">
        <f aca="false">IF(K61="","",K61*(1-Policy!$B$7))</f>
        <v/>
      </c>
      <c r="M61" s="14" t="n">
        <v>79.8834146341464</v>
      </c>
      <c r="N61" s="15" t="str">
        <f aca="false">IF(L61="","",H61/L61-1)</f>
        <v/>
      </c>
      <c r="O61" s="15" t="str">
        <f aca="false">IF(AND(F61="Accumulate",N61&lt;&gt;"",N61&gt;0),MIN(Policy!$B$4/N61,IF(E61="Stock",Policy!$B$5,Policy!$B$6)),"")</f>
        <v/>
      </c>
      <c r="P61" s="16" t="str">
        <f aca="false">IF(O61="","",O61*Policy!$B$3*Policy!$B$2)</f>
        <v/>
      </c>
      <c r="Q61" s="17" t="n">
        <v>-0.0192678227360307</v>
      </c>
      <c r="R61" s="17" t="n">
        <v>-0.035723951285521</v>
      </c>
      <c r="S61" s="18" t="n">
        <v>-0.0881131747598993</v>
      </c>
    </row>
    <row r="62" customFormat="false" ht="23.85" hidden="false" customHeight="false" outlineLevel="0" collapsed="false">
      <c r="A62" s="10" t="s">
        <v>241</v>
      </c>
      <c r="B62" s="10" t="s">
        <v>242</v>
      </c>
      <c r="C62" s="10" t="s">
        <v>156</v>
      </c>
      <c r="D62" s="10" t="s">
        <v>243</v>
      </c>
      <c r="E62" s="10" t="s">
        <v>80</v>
      </c>
      <c r="F62" s="21" t="s">
        <v>225</v>
      </c>
      <c r="G62" s="12" t="s">
        <v>226</v>
      </c>
      <c r="H62" s="13" t="n">
        <v>4.24</v>
      </c>
      <c r="I62" s="13"/>
      <c r="J62" s="13"/>
      <c r="K62" s="13"/>
      <c r="L62" s="14" t="str">
        <f aca="false">IF(K62="","",K62*(1-Policy!$B$7))</f>
        <v/>
      </c>
      <c r="M62" s="14" t="n">
        <v>4.58682926829268</v>
      </c>
      <c r="N62" s="15" t="str">
        <f aca="false">IF(L62="","",H62/L62-1)</f>
        <v/>
      </c>
      <c r="O62" s="15" t="str">
        <f aca="false">IF(AND(F62="Accumulate",N62&lt;&gt;"",N62&gt;0),MIN(Policy!$B$4/N62,IF(E62="Stock",Policy!$B$5,Policy!$B$6)),"")</f>
        <v/>
      </c>
      <c r="P62" s="16" t="str">
        <f aca="false">IF(O62="","",O62*Policy!$B$3*Policy!$B$2)</f>
        <v/>
      </c>
      <c r="Q62" s="17" t="n">
        <v>-0.0363636363636364</v>
      </c>
      <c r="R62" s="17" t="n">
        <v>-0.00469483568075102</v>
      </c>
      <c r="S62" s="18" t="n">
        <v>-0.103914078846694</v>
      </c>
    </row>
    <row r="63" customFormat="false" ht="23.85" hidden="false" customHeight="false" outlineLevel="0" collapsed="false">
      <c r="A63" s="10" t="s">
        <v>244</v>
      </c>
      <c r="B63" s="10" t="s">
        <v>245</v>
      </c>
      <c r="C63" s="10" t="s">
        <v>72</v>
      </c>
      <c r="D63" s="10" t="s">
        <v>104</v>
      </c>
      <c r="E63" s="10" t="s">
        <v>74</v>
      </c>
      <c r="F63" s="21" t="s">
        <v>225</v>
      </c>
      <c r="G63" s="12" t="s">
        <v>226</v>
      </c>
      <c r="H63" s="13" t="n">
        <v>110.38</v>
      </c>
      <c r="I63" s="13"/>
      <c r="J63" s="13"/>
      <c r="K63" s="13"/>
      <c r="L63" s="14" t="str">
        <f aca="false">IF(K63="","",K63*(1-Policy!$B$7))</f>
        <v/>
      </c>
      <c r="M63" s="14" t="n">
        <v>113.357073170732</v>
      </c>
      <c r="N63" s="15" t="str">
        <f aca="false">IF(L63="","",H63/L63-1)</f>
        <v/>
      </c>
      <c r="O63" s="15" t="str">
        <f aca="false">IF(AND(F63="Accumulate",N63&lt;&gt;"",N63&gt;0),MIN(Policy!$B$4/N63,IF(E63="Stock",Policy!$B$5,Policy!$B$6)),"")</f>
        <v/>
      </c>
      <c r="P63" s="16" t="str">
        <f aca="false">IF(O63="","",O63*Policy!$B$3*Policy!$B$2)</f>
        <v/>
      </c>
      <c r="Q63" s="17" t="n">
        <v>-0.011286277319957</v>
      </c>
      <c r="R63" s="17" t="n">
        <v>-0.0214539007092198</v>
      </c>
      <c r="S63" s="18" t="n">
        <v>-0.106660502592929</v>
      </c>
    </row>
    <row r="64" customFormat="false" ht="23.85" hidden="false" customHeight="false" outlineLevel="0" collapsed="false">
      <c r="A64" s="10" t="s">
        <v>246</v>
      </c>
      <c r="B64" s="10" t="s">
        <v>247</v>
      </c>
      <c r="C64" s="10" t="s">
        <v>156</v>
      </c>
      <c r="D64" s="10" t="s">
        <v>248</v>
      </c>
      <c r="E64" s="10" t="s">
        <v>80</v>
      </c>
      <c r="F64" s="21" t="s">
        <v>225</v>
      </c>
      <c r="G64" s="12" t="s">
        <v>226</v>
      </c>
      <c r="H64" s="13" t="n">
        <v>0.955</v>
      </c>
      <c r="I64" s="13"/>
      <c r="J64" s="13"/>
      <c r="K64" s="13"/>
      <c r="L64" s="14" t="str">
        <f aca="false">IF(K64="","",K64*(1-Policy!$B$7))</f>
        <v/>
      </c>
      <c r="M64" s="14" t="n">
        <v>0.982195121951219</v>
      </c>
      <c r="N64" s="15" t="str">
        <f aca="false">IF(L64="","",H64/L64-1)</f>
        <v/>
      </c>
      <c r="O64" s="15" t="str">
        <f aca="false">IF(AND(F64="Accumulate",N64&lt;&gt;"",N64&gt;0),MIN(Policy!$B$4/N64,IF(E64="Stock",Policy!$B$5,Policy!$B$6)),"")</f>
        <v/>
      </c>
      <c r="P64" s="16" t="str">
        <f aca="false">IF(O64="","",O64*Policy!$B$3*Policy!$B$2)</f>
        <v/>
      </c>
      <c r="Q64" s="17" t="n">
        <v>-0.0154639175257733</v>
      </c>
      <c r="R64" s="17" t="n">
        <v>-0.00520833333333337</v>
      </c>
      <c r="S64" s="18" t="n">
        <v>-0.119108744180779</v>
      </c>
    </row>
    <row r="65" customFormat="false" ht="23.85" hidden="false" customHeight="false" outlineLevel="0" collapsed="false">
      <c r="A65" s="10" t="s">
        <v>249</v>
      </c>
      <c r="B65" s="10" t="s">
        <v>250</v>
      </c>
      <c r="C65" s="10" t="s">
        <v>132</v>
      </c>
      <c r="D65" s="10" t="s">
        <v>153</v>
      </c>
      <c r="E65" s="10" t="s">
        <v>80</v>
      </c>
      <c r="F65" s="21" t="s">
        <v>225</v>
      </c>
      <c r="G65" s="12" t="s">
        <v>226</v>
      </c>
      <c r="H65" s="13" t="n">
        <v>1263</v>
      </c>
      <c r="I65" s="13"/>
      <c r="J65" s="13"/>
      <c r="K65" s="13"/>
      <c r="L65" s="14" t="str">
        <f aca="false">IF(K65="","",K65*(1-Policy!$B$7))</f>
        <v/>
      </c>
      <c r="M65" s="14" t="n">
        <v>1341.8512195122</v>
      </c>
      <c r="N65" s="15" t="str">
        <f aca="false">IF(L65="","",H65/L65-1)</f>
        <v/>
      </c>
      <c r="O65" s="15" t="str">
        <f aca="false">IF(AND(F65="Accumulate",N65&lt;&gt;"",N65&gt;0),MIN(Policy!$B$4/N65,IF(E65="Stock",Policy!$B$5,Policy!$B$6)),"")</f>
        <v/>
      </c>
      <c r="P65" s="16" t="str">
        <f aca="false">IF(O65="","",O65*Policy!$B$3*Policy!$B$2)</f>
        <v/>
      </c>
      <c r="Q65" s="17" t="n">
        <v>0.0481501767664194</v>
      </c>
      <c r="R65" s="17" t="n">
        <v>-0.116783216783217</v>
      </c>
      <c r="S65" s="18" t="n">
        <v>-0.159582490038256</v>
      </c>
    </row>
    <row r="66" customFormat="false" ht="23.85" hidden="false" customHeight="false" outlineLevel="0" collapsed="false">
      <c r="A66" s="10" t="s">
        <v>251</v>
      </c>
      <c r="B66" s="10" t="s">
        <v>252</v>
      </c>
      <c r="C66" s="10" t="s">
        <v>170</v>
      </c>
      <c r="D66" s="10" t="s">
        <v>243</v>
      </c>
      <c r="E66" s="10" t="s">
        <v>80</v>
      </c>
      <c r="F66" s="21" t="s">
        <v>225</v>
      </c>
      <c r="G66" s="12" t="s">
        <v>226</v>
      </c>
      <c r="H66" s="13" t="n">
        <v>80.1</v>
      </c>
      <c r="I66" s="13"/>
      <c r="J66" s="13"/>
      <c r="K66" s="13"/>
      <c r="L66" s="14" t="str">
        <f aca="false">IF(K66="","",K66*(1-Policy!$B$7))</f>
        <v/>
      </c>
      <c r="M66" s="14" t="n">
        <v>80.8082926829268</v>
      </c>
      <c r="N66" s="15" t="str">
        <f aca="false">IF(L66="","",H66/L66-1)</f>
        <v/>
      </c>
      <c r="O66" s="15" t="str">
        <f aca="false">IF(AND(F66="Accumulate",N66&lt;&gt;"",N66&gt;0),MIN(Policy!$B$4/N66,IF(E66="Stock",Policy!$B$5,Policy!$B$6)),"")</f>
        <v/>
      </c>
      <c r="P66" s="16" t="str">
        <f aca="false">IF(O66="","",O66*Policy!$B$3*Policy!$B$2)</f>
        <v/>
      </c>
      <c r="Q66" s="17" t="n">
        <v>0.0170137125444387</v>
      </c>
      <c r="R66" s="17" t="n">
        <v>-0.0554245283018868</v>
      </c>
      <c r="S66" s="18" t="n">
        <v>-0.161240382966807</v>
      </c>
    </row>
    <row r="67" customFormat="false" ht="23.85" hidden="false" customHeight="false" outlineLevel="0" collapsed="false">
      <c r="A67" s="10" t="s">
        <v>253</v>
      </c>
      <c r="B67" s="10" t="s">
        <v>254</v>
      </c>
      <c r="C67" s="10" t="s">
        <v>72</v>
      </c>
      <c r="D67" s="10" t="s">
        <v>255</v>
      </c>
      <c r="E67" s="10" t="s">
        <v>74</v>
      </c>
      <c r="F67" s="21" t="s">
        <v>225</v>
      </c>
      <c r="G67" s="12" t="s">
        <v>226</v>
      </c>
      <c r="H67" s="13" t="n">
        <v>112.85</v>
      </c>
      <c r="I67" s="13"/>
      <c r="J67" s="13"/>
      <c r="K67" s="13"/>
      <c r="L67" s="14" t="str">
        <f aca="false">IF(K67="","",K67*(1-Policy!$B$7))</f>
        <v/>
      </c>
      <c r="M67" s="14" t="n">
        <v>116.000975609756</v>
      </c>
      <c r="N67" s="15" t="str">
        <f aca="false">IF(L67="","",H67/L67-1)</f>
        <v/>
      </c>
      <c r="O67" s="15" t="str">
        <f aca="false">IF(AND(F67="Accumulate",N67&lt;&gt;"",N67&gt;0),MIN(Policy!$B$4/N67,IF(E67="Stock",Policy!$B$5,Policy!$B$6)),"")</f>
        <v/>
      </c>
      <c r="P67" s="16" t="str">
        <f aca="false">IF(O67="","",O67*Policy!$B$3*Policy!$B$2)</f>
        <v/>
      </c>
      <c r="Q67" s="17" t="n">
        <v>-0.0374445581712726</v>
      </c>
      <c r="R67" s="17" t="n">
        <v>-0.0371981912806074</v>
      </c>
      <c r="S67" s="18" t="n">
        <v>-0.197186335028168</v>
      </c>
    </row>
    <row r="68" customFormat="false" ht="23.85" hidden="false" customHeight="false" outlineLevel="0" collapsed="false">
      <c r="A68" s="10" t="s">
        <v>256</v>
      </c>
      <c r="B68" s="10" t="s">
        <v>257</v>
      </c>
      <c r="C68" s="10" t="s">
        <v>170</v>
      </c>
      <c r="D68" s="10" t="s">
        <v>92</v>
      </c>
      <c r="E68" s="10" t="s">
        <v>74</v>
      </c>
      <c r="F68" s="21" t="s">
        <v>225</v>
      </c>
      <c r="G68" s="12" t="s">
        <v>226</v>
      </c>
      <c r="H68" s="13" t="n">
        <v>24.84</v>
      </c>
      <c r="I68" s="13"/>
      <c r="J68" s="13"/>
      <c r="K68" s="13"/>
      <c r="L68" s="14" t="str">
        <f aca="false">IF(K68="","",K68*(1-Policy!$B$7))</f>
        <v/>
      </c>
      <c r="M68" s="14" t="n">
        <v>25.7834146341463</v>
      </c>
      <c r="N68" s="15" t="str">
        <f aca="false">IF(L68="","",H68/L68-1)</f>
        <v/>
      </c>
      <c r="O68" s="15" t="str">
        <f aca="false">IF(AND(F68="Accumulate",N68&lt;&gt;"",N68&gt;0),MIN(Policy!$B$4/N68,IF(E68="Stock",Policy!$B$5,Policy!$B$6)),"")</f>
        <v/>
      </c>
      <c r="P68" s="16" t="str">
        <f aca="false">IF(O68="","",O68*Policy!$B$3*Policy!$B$2)</f>
        <v/>
      </c>
      <c r="Q68" s="17" t="n">
        <v>0.00893582453290009</v>
      </c>
      <c r="R68" s="17" t="n">
        <v>-0.0786350148367953</v>
      </c>
      <c r="S68" s="18" t="n">
        <v>-0.21456743737394</v>
      </c>
    </row>
    <row r="69" customFormat="false" ht="23.85" hidden="false" customHeight="false" outlineLevel="0" collapsed="false">
      <c r="A69" s="10" t="s">
        <v>258</v>
      </c>
      <c r="B69" s="10" t="s">
        <v>259</v>
      </c>
      <c r="C69" s="10" t="s">
        <v>132</v>
      </c>
      <c r="D69" s="10" t="s">
        <v>260</v>
      </c>
      <c r="E69" s="10" t="s">
        <v>74</v>
      </c>
      <c r="F69" s="21" t="s">
        <v>225</v>
      </c>
      <c r="G69" s="12" t="s">
        <v>226</v>
      </c>
      <c r="H69" s="13" t="n">
        <v>52.24</v>
      </c>
      <c r="I69" s="13"/>
      <c r="J69" s="13"/>
      <c r="K69" s="13"/>
      <c r="L69" s="14" t="str">
        <f aca="false">IF(K69="","",K69*(1-Policy!$B$7))</f>
        <v/>
      </c>
      <c r="M69" s="14" t="n">
        <v>55.6912195121951</v>
      </c>
      <c r="N69" s="15" t="str">
        <f aca="false">IF(L69="","",H69/L69-1)</f>
        <v/>
      </c>
      <c r="O69" s="15" t="str">
        <f aca="false">IF(AND(F69="Accumulate",N69&lt;&gt;"",N69&gt;0),MIN(Policy!$B$4/N69,IF(E69="Stock",Policy!$B$5,Policy!$B$6)),"")</f>
        <v/>
      </c>
      <c r="P69" s="16" t="str">
        <f aca="false">IF(O69="","",O69*Policy!$B$3*Policy!$B$2)</f>
        <v/>
      </c>
      <c r="Q69" s="17" t="n">
        <v>-0.0943134535367545</v>
      </c>
      <c r="R69" s="17" t="n">
        <v>-0.000765110941086444</v>
      </c>
      <c r="S69" s="18" t="n">
        <v>-0.310633693312334</v>
      </c>
    </row>
    <row r="70" customFormat="false" ht="23.85" hidden="false" customHeight="false" outlineLevel="0" collapsed="false">
      <c r="A70" s="10" t="s">
        <v>261</v>
      </c>
      <c r="B70" s="10" t="s">
        <v>262</v>
      </c>
      <c r="C70" s="10" t="s">
        <v>72</v>
      </c>
      <c r="D70" s="10" t="s">
        <v>110</v>
      </c>
      <c r="E70" s="10" t="s">
        <v>80</v>
      </c>
      <c r="F70" s="21" t="s">
        <v>225</v>
      </c>
      <c r="G70" s="12" t="s">
        <v>226</v>
      </c>
      <c r="H70" s="13" t="n">
        <v>141.4</v>
      </c>
      <c r="I70" s="13"/>
      <c r="J70" s="13"/>
      <c r="K70" s="13"/>
      <c r="L70" s="14" t="str">
        <f aca="false">IF(K70="","",K70*(1-Policy!$B$7))</f>
        <v/>
      </c>
      <c r="M70" s="14" t="n">
        <v>160.669512195122</v>
      </c>
      <c r="N70" s="15" t="str">
        <f aca="false">IF(L70="","",H70/L70-1)</f>
        <v/>
      </c>
      <c r="O70" s="15" t="str">
        <f aca="false">IF(AND(F70="Accumulate",N70&lt;&gt;"",N70&gt;0),MIN(Policy!$B$4/N70,IF(E70="Stock",Policy!$B$5,Policy!$B$6)),"")</f>
        <v/>
      </c>
      <c r="P70" s="16" t="str">
        <f aca="false">IF(O70="","",O70*Policy!$B$3*Policy!$B$2)</f>
        <v/>
      </c>
      <c r="Q70" s="17" t="n">
        <v>0.00540386803185444</v>
      </c>
      <c r="R70" s="17" t="n">
        <v>-0.517340251228837</v>
      </c>
      <c r="S70" s="18" t="n">
        <v>-0.419489738722306</v>
      </c>
    </row>
    <row r="71" customFormat="false" ht="23.85" hidden="false" customHeight="false" outlineLevel="0" collapsed="false">
      <c r="A71" s="10" t="s">
        <v>263</v>
      </c>
      <c r="B71" s="10" t="s">
        <v>264</v>
      </c>
      <c r="C71" s="10" t="s">
        <v>170</v>
      </c>
      <c r="D71" s="10" t="s">
        <v>265</v>
      </c>
      <c r="E71" s="10" t="s">
        <v>80</v>
      </c>
      <c r="F71" s="21" t="s">
        <v>225</v>
      </c>
      <c r="G71" s="12" t="s">
        <v>226</v>
      </c>
      <c r="H71" s="13" t="n">
        <v>107</v>
      </c>
      <c r="I71" s="13"/>
      <c r="J71" s="13"/>
      <c r="K71" s="13"/>
      <c r="L71" s="14" t="str">
        <f aca="false">IF(K71="","",K71*(1-Policy!$B$7))</f>
        <v/>
      </c>
      <c r="M71" s="14" t="n">
        <v>125.956097560976</v>
      </c>
      <c r="N71" s="15" t="str">
        <f aca="false">IF(L71="","",H71/L71-1)</f>
        <v/>
      </c>
      <c r="O71" s="15" t="str">
        <f aca="false">IF(AND(F71="Accumulate",N71&lt;&gt;"",N71&gt;0),MIN(Policy!$B$4/N71,IF(E71="Stock",Policy!$B$5,Policy!$B$6)),"")</f>
        <v/>
      </c>
      <c r="P71" s="16" t="str">
        <f aca="false">IF(O71="","",O71*Policy!$B$3*Policy!$B$2)</f>
        <v/>
      </c>
      <c r="Q71" s="17" t="n">
        <v>-0.0290381125226861</v>
      </c>
      <c r="R71" s="17" t="n">
        <v>-0.353083434099154</v>
      </c>
      <c r="S71" s="18" t="n">
        <v>-0.448336803805794</v>
      </c>
    </row>
    <row r="72" customFormat="false" ht="23.85" hidden="false" customHeight="false" outlineLevel="0" collapsed="false">
      <c r="A72" s="10" t="s">
        <v>266</v>
      </c>
      <c r="B72" s="10" t="s">
        <v>267</v>
      </c>
      <c r="C72" s="10" t="s">
        <v>170</v>
      </c>
      <c r="D72" s="10" t="s">
        <v>209</v>
      </c>
      <c r="E72" s="10" t="s">
        <v>80</v>
      </c>
      <c r="F72" s="21" t="s">
        <v>225</v>
      </c>
      <c r="G72" s="12" t="s">
        <v>226</v>
      </c>
      <c r="H72" s="13" t="n">
        <v>377.8</v>
      </c>
      <c r="I72" s="13"/>
      <c r="J72" s="13"/>
      <c r="K72" s="13"/>
      <c r="L72" s="14" t="str">
        <f aca="false">IF(K72="","",K72*(1-Policy!$B$7))</f>
        <v/>
      </c>
      <c r="M72" s="14" t="n">
        <v>403.287804878049</v>
      </c>
      <c r="N72" s="15" t="str">
        <f aca="false">IF(L72="","",H72/L72-1)</f>
        <v/>
      </c>
      <c r="O72" s="15" t="str">
        <f aca="false">IF(AND(F72="Accumulate",N72&lt;&gt;"",N72&gt;0),MIN(Policy!$B$4/N72,IF(E72="Stock",Policy!$B$5,Policy!$B$6)),"")</f>
        <v/>
      </c>
      <c r="P72" s="16" t="str">
        <f aca="false">IF(O72="","",O72*Policy!$B$3*Policy!$B$2)</f>
        <v/>
      </c>
      <c r="Q72" s="17" t="n">
        <v>-0.0187012987012987</v>
      </c>
      <c r="R72" s="17" t="n">
        <v>-0.150247413405308</v>
      </c>
      <c r="S72" s="18" t="n">
        <v>-0.471935654729878</v>
      </c>
    </row>
    <row r="73" customFormat="false" ht="23.85" hidden="false" customHeight="false" outlineLevel="0" collapsed="false">
      <c r="A73" s="10" t="s">
        <v>268</v>
      </c>
      <c r="B73" s="10" t="s">
        <v>269</v>
      </c>
      <c r="C73" s="10" t="s">
        <v>170</v>
      </c>
      <c r="D73" s="10" t="s">
        <v>265</v>
      </c>
      <c r="E73" s="10" t="s">
        <v>80</v>
      </c>
      <c r="F73" s="21" t="s">
        <v>225</v>
      </c>
      <c r="G73" s="12" t="s">
        <v>226</v>
      </c>
      <c r="H73" s="13" t="n">
        <v>71.5</v>
      </c>
      <c r="I73" s="13"/>
      <c r="J73" s="13"/>
      <c r="K73" s="13"/>
      <c r="L73" s="14" t="str">
        <f aca="false">IF(K73="","",K73*(1-Policy!$B$7))</f>
        <v/>
      </c>
      <c r="M73" s="14" t="n">
        <v>82.5653658536585</v>
      </c>
      <c r="N73" s="15" t="str">
        <f aca="false">IF(L73="","",H73/L73-1)</f>
        <v/>
      </c>
      <c r="O73" s="15" t="str">
        <f aca="false">IF(AND(F73="Accumulate",N73&lt;&gt;"",N73&gt;0),MIN(Policy!$B$4/N73,IF(E73="Stock",Policy!$B$5,Policy!$B$6)),"")</f>
        <v/>
      </c>
      <c r="P73" s="16" t="str">
        <f aca="false">IF(O73="","",O73*Policy!$B$3*Policy!$B$2)</f>
        <v/>
      </c>
      <c r="Q73" s="17" t="n">
        <v>-0.0914866581956798</v>
      </c>
      <c r="R73" s="17" t="n">
        <v>-0.296951819075713</v>
      </c>
      <c r="S73" s="18" t="n">
        <v>-0.488781339157031</v>
      </c>
    </row>
    <row r="74" customFormat="false" ht="23.85" hidden="false" customHeight="false" outlineLevel="0" collapsed="false">
      <c r="A74" s="10" t="s">
        <v>270</v>
      </c>
      <c r="B74" s="10" t="s">
        <v>271</v>
      </c>
      <c r="C74" s="10" t="s">
        <v>156</v>
      </c>
      <c r="D74" s="10" t="s">
        <v>272</v>
      </c>
      <c r="E74" s="10" t="s">
        <v>80</v>
      </c>
      <c r="F74" s="21" t="s">
        <v>225</v>
      </c>
      <c r="G74" s="12" t="s">
        <v>226</v>
      </c>
      <c r="H74" s="13" t="n">
        <v>2.24</v>
      </c>
      <c r="I74" s="13"/>
      <c r="J74" s="13"/>
      <c r="K74" s="13"/>
      <c r="L74" s="14" t="str">
        <f aca="false">IF(K74="","",K74*(1-Policy!$B$7))</f>
        <v/>
      </c>
      <c r="M74" s="14" t="n">
        <v>2.36682926829268</v>
      </c>
      <c r="N74" s="15" t="str">
        <f aca="false">IF(L74="","",H74/L74-1)</f>
        <v/>
      </c>
      <c r="O74" s="15" t="str">
        <f aca="false">IF(AND(F74="Accumulate",N74&lt;&gt;"",N74&gt;0),MIN(Policy!$B$4/N74,IF(E74="Stock",Policy!$B$5,Policy!$B$6)),"")</f>
        <v/>
      </c>
      <c r="P74" s="16" t="str">
        <f aca="false">IF(O74="","",O74*Policy!$B$3*Policy!$B$2)</f>
        <v/>
      </c>
      <c r="Q74" s="17" t="n">
        <v>-0.081967213114754</v>
      </c>
      <c r="R74" s="17" t="n">
        <v>-0.0427350427350426</v>
      </c>
      <c r="S74" s="18" t="n">
        <v>-0.496657907907949</v>
      </c>
    </row>
    <row r="75" customFormat="false" ht="23.85" hidden="false" customHeight="false" outlineLevel="0" collapsed="false">
      <c r="A75" s="10" t="s">
        <v>273</v>
      </c>
      <c r="B75" s="10" t="s">
        <v>274</v>
      </c>
      <c r="C75" s="10" t="s">
        <v>72</v>
      </c>
      <c r="D75" s="10" t="s">
        <v>143</v>
      </c>
      <c r="E75" s="10" t="s">
        <v>74</v>
      </c>
      <c r="F75" s="21" t="s">
        <v>225</v>
      </c>
      <c r="G75" s="12" t="s">
        <v>226</v>
      </c>
      <c r="H75" s="13" t="n">
        <v>41.41</v>
      </c>
      <c r="I75" s="13"/>
      <c r="J75" s="13"/>
      <c r="K75" s="13"/>
      <c r="L75" s="14" t="str">
        <f aca="false">IF(K75="","",K75*(1-Policy!$B$7))</f>
        <v/>
      </c>
      <c r="M75" s="14" t="n">
        <v>44.4109756097561</v>
      </c>
      <c r="N75" s="15" t="str">
        <f aca="false">IF(L75="","",H75/L75-1)</f>
        <v/>
      </c>
      <c r="O75" s="15" t="str">
        <f aca="false">IF(AND(F75="Accumulate",N75&lt;&gt;"",N75&gt;0),MIN(Policy!$B$4/N75,IF(E75="Stock",Policy!$B$5,Policy!$B$6)),"")</f>
        <v/>
      </c>
      <c r="P75" s="16" t="str">
        <f aca="false">IF(O75="","",O75*Policy!$B$3*Policy!$B$2)</f>
        <v/>
      </c>
      <c r="Q75" s="17" t="n">
        <v>-0.0880863245981062</v>
      </c>
      <c r="R75" s="17" t="n">
        <v>-0.0955553128753959</v>
      </c>
      <c r="S75" s="18" t="n">
        <v>-0.532893144115688</v>
      </c>
    </row>
    <row r="76" customFormat="false" ht="23.85" hidden="false" customHeight="false" outlineLevel="0" collapsed="false">
      <c r="A76" s="10" t="s">
        <v>275</v>
      </c>
      <c r="B76" s="10" t="s">
        <v>276</v>
      </c>
      <c r="C76" s="10" t="s">
        <v>132</v>
      </c>
      <c r="D76" s="10" t="s">
        <v>277</v>
      </c>
      <c r="E76" s="10" t="s">
        <v>80</v>
      </c>
      <c r="F76" s="21" t="s">
        <v>225</v>
      </c>
      <c r="G76" s="12" t="s">
        <v>226</v>
      </c>
      <c r="H76" s="13" t="n">
        <v>297.75</v>
      </c>
      <c r="I76" s="13"/>
      <c r="J76" s="13"/>
      <c r="K76" s="13"/>
      <c r="L76" s="14" t="str">
        <f aca="false">IF(K76="","",K76*(1-Policy!$B$7))</f>
        <v/>
      </c>
      <c r="M76" s="14" t="n">
        <v>378.423170731707</v>
      </c>
      <c r="N76" s="15" t="str">
        <f aca="false">IF(L76="","",H76/L76-1)</f>
        <v/>
      </c>
      <c r="O76" s="15" t="str">
        <f aca="false">IF(AND(F76="Accumulate",N76&lt;&gt;"",N76&gt;0),MIN(Policy!$B$4/N76,IF(E76="Stock",Policy!$B$5,Policy!$B$6)),"")</f>
        <v/>
      </c>
      <c r="P76" s="16" t="str">
        <f aca="false">IF(O76="","",O76*Policy!$B$3*Policy!$B$2)</f>
        <v/>
      </c>
      <c r="Q76" s="17" t="n">
        <v>-0.144126016844405</v>
      </c>
      <c r="R76" s="17" t="n">
        <v>-0.219834927289401</v>
      </c>
      <c r="S76" s="18" t="n">
        <v>-0.582528959048936</v>
      </c>
    </row>
    <row r="77" customFormat="false" ht="23.85" hidden="false" customHeight="false" outlineLevel="0" collapsed="false">
      <c r="A77" s="10" t="s">
        <v>278</v>
      </c>
      <c r="B77" s="10" t="s">
        <v>279</v>
      </c>
      <c r="C77" s="10" t="s">
        <v>170</v>
      </c>
      <c r="D77" s="10" t="s">
        <v>280</v>
      </c>
      <c r="E77" s="10" t="s">
        <v>80</v>
      </c>
      <c r="F77" s="21" t="s">
        <v>225</v>
      </c>
      <c r="G77" s="12" t="s">
        <v>226</v>
      </c>
      <c r="H77" s="13" t="n">
        <v>75.6</v>
      </c>
      <c r="I77" s="13"/>
      <c r="J77" s="13"/>
      <c r="K77" s="13"/>
      <c r="L77" s="14" t="str">
        <f aca="false">IF(K77="","",K77*(1-Policy!$B$7))</f>
        <v/>
      </c>
      <c r="M77" s="14" t="n">
        <v>92.3009756097561</v>
      </c>
      <c r="N77" s="15" t="str">
        <f aca="false">IF(L77="","",H77/L77-1)</f>
        <v/>
      </c>
      <c r="O77" s="15" t="str">
        <f aca="false">IF(AND(F77="Accumulate",N77&lt;&gt;"",N77&gt;0),MIN(Policy!$B$4/N77,IF(E77="Stock",Policy!$B$5,Policy!$B$6)),"")</f>
        <v/>
      </c>
      <c r="P77" s="16" t="str">
        <f aca="false">IF(O77="","",O77*Policy!$B$3*Policy!$B$2)</f>
        <v/>
      </c>
      <c r="Q77" s="17" t="n">
        <v>-0.109540636042403</v>
      </c>
      <c r="R77" s="17" t="n">
        <v>-0.301293900184843</v>
      </c>
      <c r="S77" s="18" t="n">
        <v>-0.58655813315274</v>
      </c>
    </row>
    <row r="78" customFormat="false" ht="23.85" hidden="false" customHeight="false" outlineLevel="0" collapsed="false">
      <c r="A78" s="10" t="s">
        <v>281</v>
      </c>
      <c r="B78" s="10" t="s">
        <v>282</v>
      </c>
      <c r="C78" s="10" t="s">
        <v>156</v>
      </c>
      <c r="D78" s="10" t="s">
        <v>283</v>
      </c>
      <c r="E78" s="10" t="s">
        <v>80</v>
      </c>
      <c r="F78" s="21" t="s">
        <v>225</v>
      </c>
      <c r="G78" s="12" t="s">
        <v>226</v>
      </c>
      <c r="H78" s="13" t="n">
        <v>2.13</v>
      </c>
      <c r="I78" s="13"/>
      <c r="J78" s="13"/>
      <c r="K78" s="13"/>
      <c r="L78" s="14" t="str">
        <f aca="false">IF(K78="","",K78*(1-Policy!$B$7))</f>
        <v/>
      </c>
      <c r="M78" s="14" t="n">
        <v>2.24878048780488</v>
      </c>
      <c r="N78" s="15" t="str">
        <f aca="false">IF(L78="","",H78/L78-1)</f>
        <v/>
      </c>
      <c r="O78" s="15" t="str">
        <f aca="false">IF(AND(F78="Accumulate",N78&lt;&gt;"",N78&gt;0),MIN(Policy!$B$4/N78,IF(E78="Stock",Policy!$B$5,Policy!$B$6)),"")</f>
        <v/>
      </c>
      <c r="P78" s="16" t="str">
        <f aca="false">IF(O78="","",O78*Policy!$B$3*Policy!$B$2)</f>
        <v/>
      </c>
      <c r="Q78" s="17" t="n">
        <v>-0.049107142857143</v>
      </c>
      <c r="R78" s="17" t="n">
        <v>-0.108786610878661</v>
      </c>
      <c r="S78" s="18" t="n">
        <v>-0.596197129803751</v>
      </c>
    </row>
    <row r="79" customFormat="false" ht="23.85" hidden="false" customHeight="false" outlineLevel="0" collapsed="false">
      <c r="A79" s="10" t="s">
        <v>284</v>
      </c>
      <c r="B79" s="10" t="s">
        <v>285</v>
      </c>
      <c r="C79" s="10" t="s">
        <v>170</v>
      </c>
      <c r="D79" s="10" t="s">
        <v>89</v>
      </c>
      <c r="E79" s="10" t="s">
        <v>80</v>
      </c>
      <c r="F79" s="21" t="s">
        <v>225</v>
      </c>
      <c r="G79" s="12" t="s">
        <v>226</v>
      </c>
      <c r="H79" s="13" t="n">
        <v>424.8</v>
      </c>
      <c r="I79" s="13"/>
      <c r="J79" s="13"/>
      <c r="K79" s="13"/>
      <c r="L79" s="14" t="str">
        <f aca="false">IF(K79="","",K79*(1-Policy!$B$7))</f>
        <v/>
      </c>
      <c r="M79" s="14" t="n">
        <v>486.307317073171</v>
      </c>
      <c r="N79" s="15" t="str">
        <f aca="false">IF(L79="","",H79/L79-1)</f>
        <v/>
      </c>
      <c r="O79" s="15" t="str">
        <f aca="false">IF(AND(F79="Accumulate",N79&lt;&gt;"",N79&gt;0),MIN(Policy!$B$4/N79,IF(E79="Stock",Policy!$B$5,Policy!$B$6)),"")</f>
        <v/>
      </c>
      <c r="P79" s="16" t="str">
        <f aca="false">IF(O79="","",O79*Policy!$B$3*Policy!$B$2)</f>
        <v/>
      </c>
      <c r="Q79" s="17" t="n">
        <v>-0.0769230769230769</v>
      </c>
      <c r="R79" s="17" t="n">
        <v>-0.348066298342541</v>
      </c>
      <c r="S79" s="18" t="n">
        <v>-0.736938396136399</v>
      </c>
    </row>
    <row r="80" customFormat="false" ht="23.85" hidden="false" customHeight="false" outlineLevel="0" collapsed="false">
      <c r="A80" s="10" t="s">
        <v>286</v>
      </c>
      <c r="B80" s="10" t="s">
        <v>287</v>
      </c>
      <c r="C80" s="10" t="s">
        <v>156</v>
      </c>
      <c r="D80" s="10" t="s">
        <v>288</v>
      </c>
      <c r="E80" s="10" t="s">
        <v>80</v>
      </c>
      <c r="F80" s="21" t="s">
        <v>225</v>
      </c>
      <c r="G80" s="12" t="s">
        <v>226</v>
      </c>
      <c r="H80" s="13" t="n">
        <v>1.08</v>
      </c>
      <c r="I80" s="13"/>
      <c r="J80" s="13"/>
      <c r="K80" s="13"/>
      <c r="L80" s="14" t="str">
        <f aca="false">IF(K80="","",K80*(1-Policy!$B$7))</f>
        <v/>
      </c>
      <c r="M80" s="14" t="n">
        <v>1.21609756097561</v>
      </c>
      <c r="N80" s="15" t="str">
        <f aca="false">IF(L80="","",H80/L80-1)</f>
        <v/>
      </c>
      <c r="O80" s="15" t="str">
        <f aca="false">IF(AND(F80="Accumulate",N80&lt;&gt;"",N80&gt;0),MIN(Policy!$B$4/N80,IF(E80="Stock",Policy!$B$5,Policy!$B$6)),"")</f>
        <v/>
      </c>
      <c r="P80" s="16" t="str">
        <f aca="false">IF(O80="","",O80*Policy!$B$3*Policy!$B$2)</f>
        <v/>
      </c>
      <c r="Q80" s="17" t="n">
        <v>-0.121951219512195</v>
      </c>
      <c r="R80" s="17" t="n">
        <v>-0.142857142857143</v>
      </c>
      <c r="S80" s="18" t="n">
        <v>-0.890825410885851</v>
      </c>
    </row>
    <row r="81" customFormat="false" ht="23.85" hidden="false" customHeight="false" outlineLevel="0" collapsed="false">
      <c r="A81" s="10" t="s">
        <v>289</v>
      </c>
      <c r="B81" s="10" t="s">
        <v>290</v>
      </c>
      <c r="C81" s="10" t="s">
        <v>156</v>
      </c>
      <c r="D81" s="10" t="s">
        <v>291</v>
      </c>
      <c r="E81" s="10" t="s">
        <v>80</v>
      </c>
      <c r="F81" s="21" t="s">
        <v>225</v>
      </c>
      <c r="G81" s="12" t="s">
        <v>226</v>
      </c>
      <c r="H81" s="13" t="n">
        <v>1.83</v>
      </c>
      <c r="I81" s="13"/>
      <c r="J81" s="13"/>
      <c r="K81" s="13"/>
      <c r="L81" s="14" t="str">
        <f aca="false">IF(K81="","",K81*(1-Policy!$B$7))</f>
        <v/>
      </c>
      <c r="M81" s="14" t="n">
        <v>1.96878048780488</v>
      </c>
      <c r="N81" s="15" t="str">
        <f aca="false">IF(L81="","",H81/L81-1)</f>
        <v/>
      </c>
      <c r="O81" s="15" t="str">
        <f aca="false">IF(AND(F81="Accumulate",N81&lt;&gt;"",N81&gt;0),MIN(Policy!$B$4/N81,IF(E81="Stock",Policy!$B$5,Policy!$B$6)),"")</f>
        <v/>
      </c>
      <c r="P81" s="16" t="str">
        <f aca="false">IF(O81="","",O81*Policy!$B$3*Policy!$B$2)</f>
        <v/>
      </c>
      <c r="Q81" s="17" t="n">
        <v>-0.056701030927835</v>
      </c>
      <c r="R81" s="17" t="n">
        <v>-0.144859813084112</v>
      </c>
      <c r="S81" s="18" t="n">
        <v>-0.902003070259593</v>
      </c>
    </row>
    <row r="82" customFormat="false" ht="23.85" hidden="false" customHeight="false" outlineLevel="0" collapsed="false">
      <c r="A82" s="10" t="s">
        <v>292</v>
      </c>
      <c r="B82" s="10" t="s">
        <v>293</v>
      </c>
      <c r="C82" s="10" t="s">
        <v>156</v>
      </c>
      <c r="D82" s="10" t="s">
        <v>294</v>
      </c>
      <c r="E82" s="10" t="s">
        <v>80</v>
      </c>
      <c r="F82" s="21" t="s">
        <v>225</v>
      </c>
      <c r="G82" s="12" t="s">
        <v>226</v>
      </c>
      <c r="H82" s="13" t="n">
        <v>2.07</v>
      </c>
      <c r="I82" s="13"/>
      <c r="J82" s="13"/>
      <c r="K82" s="13"/>
      <c r="L82" s="14" t="str">
        <f aca="false">IF(K82="","",K82*(1-Policy!$B$7))</f>
        <v/>
      </c>
      <c r="M82" s="14" t="n">
        <v>2.22829268292683</v>
      </c>
      <c r="N82" s="15" t="str">
        <f aca="false">IF(L82="","",H82/L82-1)</f>
        <v/>
      </c>
      <c r="O82" s="15" t="str">
        <f aca="false">IF(AND(F82="Accumulate",N82&lt;&gt;"",N82&gt;0),MIN(Policy!$B$4/N82,IF(E82="Stock",Policy!$B$5,Policy!$B$6)),"")</f>
        <v/>
      </c>
      <c r="P82" s="16" t="str">
        <f aca="false">IF(O82="","",O82*Policy!$B$3*Policy!$B$2)</f>
        <v/>
      </c>
      <c r="Q82" s="17" t="n">
        <v>-0.0800000000000001</v>
      </c>
      <c r="R82" s="17" t="n">
        <v>-0.130252100840336</v>
      </c>
      <c r="S82" s="18" t="n">
        <v>-0.914706023008199</v>
      </c>
    </row>
    <row r="83" customFormat="false" ht="23.85" hidden="false" customHeight="false" outlineLevel="0" collapsed="false">
      <c r="A83" s="10" t="s">
        <v>295</v>
      </c>
      <c r="B83" s="10" t="s">
        <v>296</v>
      </c>
      <c r="C83" s="10" t="s">
        <v>156</v>
      </c>
      <c r="D83" s="10" t="s">
        <v>272</v>
      </c>
      <c r="E83" s="10" t="s">
        <v>80</v>
      </c>
      <c r="F83" s="21" t="s">
        <v>225</v>
      </c>
      <c r="G83" s="12" t="s">
        <v>226</v>
      </c>
      <c r="H83" s="13" t="n">
        <v>1.19</v>
      </c>
      <c r="I83" s="13"/>
      <c r="J83" s="13"/>
      <c r="K83" s="13"/>
      <c r="L83" s="14" t="str">
        <f aca="false">IF(K83="","",K83*(1-Policy!$B$7))</f>
        <v/>
      </c>
      <c r="M83" s="14" t="n">
        <v>1.32707317073171</v>
      </c>
      <c r="N83" s="15" t="str">
        <f aca="false">IF(L83="","",H83/L83-1)</f>
        <v/>
      </c>
      <c r="O83" s="15" t="str">
        <f aca="false">IF(AND(F83="Accumulate",N83&lt;&gt;"",N83&gt;0),MIN(Policy!$B$4/N83,IF(E83="Stock",Policy!$B$5,Policy!$B$6)),"")</f>
        <v/>
      </c>
      <c r="P83" s="16" t="str">
        <f aca="false">IF(O83="","",O83*Policy!$B$3*Policy!$B$2)</f>
        <v/>
      </c>
      <c r="Q83" s="17" t="n">
        <v>-0.0916030534351146</v>
      </c>
      <c r="R83" s="17" t="n">
        <v>-0.179310344827586</v>
      </c>
      <c r="S83" s="18" t="n">
        <v>-0.98683060655122</v>
      </c>
    </row>
    <row r="84" customFormat="false" ht="23.85" hidden="false" customHeight="false" outlineLevel="0" collapsed="false">
      <c r="A84" s="10" t="s">
        <v>297</v>
      </c>
      <c r="B84" s="10" t="s">
        <v>298</v>
      </c>
      <c r="C84" s="10" t="s">
        <v>156</v>
      </c>
      <c r="D84" s="10" t="s">
        <v>291</v>
      </c>
      <c r="E84" s="10" t="s">
        <v>80</v>
      </c>
      <c r="F84" s="21" t="s">
        <v>225</v>
      </c>
      <c r="G84" s="12" t="s">
        <v>226</v>
      </c>
      <c r="H84" s="13" t="n">
        <v>2.19</v>
      </c>
      <c r="I84" s="13"/>
      <c r="J84" s="13"/>
      <c r="K84" s="13"/>
      <c r="L84" s="14" t="str">
        <f aca="false">IF(K84="","",K84*(1-Policy!$B$7))</f>
        <v/>
      </c>
      <c r="M84" s="14" t="n">
        <v>2.54146341463415</v>
      </c>
      <c r="N84" s="15" t="str">
        <f aca="false">IF(L84="","",H84/L84-1)</f>
        <v/>
      </c>
      <c r="O84" s="15" t="str">
        <f aca="false">IF(AND(F84="Accumulate",N84&lt;&gt;"",N84&gt;0),MIN(Policy!$B$4/N84,IF(E84="Stock",Policy!$B$5,Policy!$B$6)),"")</f>
        <v/>
      </c>
      <c r="P84" s="16" t="str">
        <f aca="false">IF(O84="","",O84*Policy!$B$3*Policy!$B$2)</f>
        <v/>
      </c>
      <c r="Q84" s="17" t="n">
        <v>-0.130952380952381</v>
      </c>
      <c r="R84" s="17" t="n">
        <v>-0.22887323943662</v>
      </c>
      <c r="S84" s="18" t="n">
        <v>-1.58864570068968</v>
      </c>
    </row>
    <row r="86" customFormat="false" ht="15" hidden="false" customHeight="false" outlineLevel="0" collapsed="false">
      <c r="A86" s="9" t="s">
        <v>299</v>
      </c>
      <c r="N86" s="9" t="s">
        <v>300</v>
      </c>
      <c r="O86" s="22" t="n">
        <f aca="false">SUM(O2:O84)</f>
        <v>0.404605758411774</v>
      </c>
      <c r="P86" s="23" t="n">
        <f aca="false">SUM(P2:P84)</f>
        <v>404605.758411774</v>
      </c>
    </row>
    <row r="87" customFormat="false" ht="15" hidden="false" customHeight="false" outlineLevel="0" collapsed="false">
      <c r="A87" s="2" t="s">
        <v>301</v>
      </c>
    </row>
  </sheetData>
  <autoFilter ref="A1:S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70"/>
  </cols>
  <sheetData>
    <row r="1" customFormat="false" ht="23.85" hidden="false" customHeight="false" outlineLevel="0" collapsed="false">
      <c r="A1" s="5" t="s">
        <v>51</v>
      </c>
      <c r="B1" s="5" t="s">
        <v>52</v>
      </c>
      <c r="C1" s="5" t="s">
        <v>302</v>
      </c>
      <c r="D1" s="5" t="s">
        <v>303</v>
      </c>
      <c r="E1" s="5" t="s">
        <v>304</v>
      </c>
      <c r="F1" s="5" t="s">
        <v>305</v>
      </c>
      <c r="G1" s="5" t="s">
        <v>306</v>
      </c>
      <c r="H1" s="5" t="s">
        <v>307</v>
      </c>
      <c r="I1" s="5" t="s">
        <v>308</v>
      </c>
      <c r="J1" s="5" t="s">
        <v>309</v>
      </c>
      <c r="K1" s="5" t="s">
        <v>310</v>
      </c>
      <c r="L1" s="5" t="s">
        <v>311</v>
      </c>
      <c r="M1" s="5" t="s">
        <v>312</v>
      </c>
    </row>
    <row r="2" customFormat="false" ht="28.35" hidden="false" customHeight="false" outlineLevel="0" collapsed="false">
      <c r="A2" s="4" t="s">
        <v>289</v>
      </c>
      <c r="B2" s="4" t="s">
        <v>290</v>
      </c>
      <c r="C2" s="24" t="n">
        <v>1.83</v>
      </c>
      <c r="D2" s="25" t="n">
        <v>0.1255</v>
      </c>
      <c r="E2" s="26" t="n">
        <f aca="false">IF(C2&gt;0,D2/C2,"")</f>
        <v>0.0685792349726776</v>
      </c>
      <c r="F2" s="0" t="str">
        <f aca="false">IF(E2="","no data",IF(E2&lt;Policy!$B$8,"below band",IF(E2&gt;Policy!$B$9,"above band","in band")))</f>
        <v>in band</v>
      </c>
      <c r="G2" s="27" t="n">
        <f aca="false">D2/Policy!$B$8</f>
        <v>2.09166666666667</v>
      </c>
      <c r="H2" s="27" t="n">
        <f aca="false">D2/((Policy!$B$8+Policy!$B$9)/2)</f>
        <v>1.79285714285714</v>
      </c>
      <c r="I2" s="27" t="n">
        <f aca="false">D2/Policy!$B$9</f>
        <v>1.56875</v>
      </c>
      <c r="J2" s="26" t="n">
        <f aca="false">E2*0.8</f>
        <v>0.0548633879781421</v>
      </c>
      <c r="K2" s="28" t="n">
        <v>-0.144859813084112</v>
      </c>
      <c r="L2" s="9" t="s">
        <v>75</v>
      </c>
      <c r="M2" s="29" t="s">
        <v>313</v>
      </c>
    </row>
    <row r="3" customFormat="false" ht="28.35" hidden="false" customHeight="false" outlineLevel="0" collapsed="false">
      <c r="A3" s="4" t="s">
        <v>297</v>
      </c>
      <c r="B3" s="4" t="s">
        <v>298</v>
      </c>
      <c r="C3" s="24" t="n">
        <v>2.19</v>
      </c>
      <c r="D3" s="25" t="n">
        <v>0.1501</v>
      </c>
      <c r="E3" s="26" t="n">
        <f aca="false">IF(C3&gt;0,D3/C3,"")</f>
        <v>0.0685388127853881</v>
      </c>
      <c r="F3" s="0" t="str">
        <f aca="false">IF(E3="","no data",IF(E3&lt;Policy!$B$8,"below band",IF(E3&gt;Policy!$B$9,"above band","in band")))</f>
        <v>in band</v>
      </c>
      <c r="G3" s="27" t="n">
        <f aca="false">D3/Policy!$B$8</f>
        <v>2.50166666666667</v>
      </c>
      <c r="H3" s="27" t="n">
        <f aca="false">D3/((Policy!$B$8+Policy!$B$9)/2)</f>
        <v>2.14428571428571</v>
      </c>
      <c r="I3" s="27" t="n">
        <f aca="false">D3/Policy!$B$9</f>
        <v>1.87625</v>
      </c>
      <c r="J3" s="26" t="n">
        <f aca="false">E3*0.8</f>
        <v>0.0548310502283105</v>
      </c>
      <c r="K3" s="28" t="n">
        <v>-0.22887323943662</v>
      </c>
      <c r="L3" s="9" t="s">
        <v>75</v>
      </c>
      <c r="M3" s="29" t="s">
        <v>314</v>
      </c>
    </row>
    <row r="4" customFormat="false" ht="28.35" hidden="false" customHeight="false" outlineLevel="0" collapsed="false">
      <c r="A4" s="4" t="s">
        <v>286</v>
      </c>
      <c r="B4" s="4" t="s">
        <v>287</v>
      </c>
      <c r="C4" s="24" t="n">
        <v>1.08</v>
      </c>
      <c r="D4" s="25" t="n">
        <v>0.07266</v>
      </c>
      <c r="E4" s="26" t="n">
        <f aca="false">IF(C4&gt;0,D4/C4,"")</f>
        <v>0.0672777777777778</v>
      </c>
      <c r="F4" s="0" t="str">
        <f aca="false">IF(E4="","no data",IF(E4&lt;Policy!$B$8,"below band",IF(E4&gt;Policy!$B$9,"above band","in band")))</f>
        <v>in band</v>
      </c>
      <c r="G4" s="27" t="n">
        <f aca="false">D4/Policy!$B$8</f>
        <v>1.211</v>
      </c>
      <c r="H4" s="27" t="n">
        <f aca="false">D4/((Policy!$B$8+Policy!$B$9)/2)</f>
        <v>1.038</v>
      </c>
      <c r="I4" s="27" t="n">
        <f aca="false">D4/Policy!$B$9</f>
        <v>0.90825</v>
      </c>
      <c r="J4" s="26" t="n">
        <f aca="false">E4*0.8</f>
        <v>0.0538222222222222</v>
      </c>
      <c r="K4" s="28" t="n">
        <v>-0.142857142857143</v>
      </c>
      <c r="L4" s="9" t="s">
        <v>75</v>
      </c>
      <c r="M4" s="29" t="s">
        <v>315</v>
      </c>
    </row>
    <row r="5" customFormat="false" ht="28.35" hidden="false" customHeight="false" outlineLevel="0" collapsed="false">
      <c r="A5" s="4" t="s">
        <v>295</v>
      </c>
      <c r="B5" s="4" t="s">
        <v>296</v>
      </c>
      <c r="C5" s="24" t="n">
        <v>1.19</v>
      </c>
      <c r="D5" s="25" t="n">
        <v>0.0792</v>
      </c>
      <c r="E5" s="26" t="n">
        <f aca="false">IF(C5&gt;0,D5/C5,"")</f>
        <v>0.0665546218487395</v>
      </c>
      <c r="F5" s="0" t="str">
        <f aca="false">IF(E5="","no data",IF(E5&lt;Policy!$B$8,"below band",IF(E5&gt;Policy!$B$9,"above band","in band")))</f>
        <v>in band</v>
      </c>
      <c r="G5" s="27" t="n">
        <f aca="false">D5/Policy!$B$8</f>
        <v>1.32</v>
      </c>
      <c r="H5" s="27" t="n">
        <f aca="false">D5/((Policy!$B$8+Policy!$B$9)/2)</f>
        <v>1.13142857142857</v>
      </c>
      <c r="I5" s="27" t="n">
        <f aca="false">D5/Policy!$B$9</f>
        <v>0.99</v>
      </c>
      <c r="J5" s="26" t="n">
        <f aca="false">E5*0.8</f>
        <v>0.0532436974789916</v>
      </c>
      <c r="K5" s="28" t="n">
        <v>-0.179310344827586</v>
      </c>
      <c r="L5" s="9" t="s">
        <v>75</v>
      </c>
      <c r="M5" s="29" t="s">
        <v>316</v>
      </c>
    </row>
    <row r="6" customFormat="false" ht="28.35" hidden="false" customHeight="false" outlineLevel="0" collapsed="false">
      <c r="A6" s="4" t="s">
        <v>281</v>
      </c>
      <c r="B6" s="4" t="s">
        <v>282</v>
      </c>
      <c r="C6" s="24" t="n">
        <v>2.13</v>
      </c>
      <c r="D6" s="25" t="n">
        <v>0.13223</v>
      </c>
      <c r="E6" s="26" t="n">
        <f aca="false">IF(C6&gt;0,D6/C6,"")</f>
        <v>0.0620798122065728</v>
      </c>
      <c r="F6" s="0" t="str">
        <f aca="false">IF(E6="","no data",IF(E6&lt;Policy!$B$8,"below band",IF(E6&gt;Policy!$B$9,"above band","in band")))</f>
        <v>in band</v>
      </c>
      <c r="G6" s="27" t="n">
        <f aca="false">D6/Policy!$B$8</f>
        <v>2.20383333333333</v>
      </c>
      <c r="H6" s="27" t="n">
        <f aca="false">D6/((Policy!$B$8+Policy!$B$9)/2)</f>
        <v>1.889</v>
      </c>
      <c r="I6" s="27" t="n">
        <f aca="false">D6/Policy!$B$9</f>
        <v>1.652875</v>
      </c>
      <c r="J6" s="26" t="n">
        <f aca="false">E6*0.8</f>
        <v>0.0496638497652582</v>
      </c>
      <c r="K6" s="28" t="n">
        <v>-0.108786610878661</v>
      </c>
      <c r="L6" s="9" t="s">
        <v>75</v>
      </c>
      <c r="M6" s="29" t="s">
        <v>317</v>
      </c>
    </row>
    <row r="7" customFormat="false" ht="15" hidden="false" customHeight="false" outlineLevel="0" collapsed="false">
      <c r="A7" s="4" t="s">
        <v>292</v>
      </c>
      <c r="B7" s="4" t="s">
        <v>293</v>
      </c>
      <c r="C7" s="24" t="n">
        <v>2.07</v>
      </c>
      <c r="D7" s="25" t="n">
        <v>0.12099</v>
      </c>
      <c r="E7" s="26" t="n">
        <f aca="false">IF(C7&gt;0,D7/C7,"")</f>
        <v>0.0584492753623188</v>
      </c>
      <c r="F7" s="0" t="str">
        <f aca="false">IF(E7="","no data",IF(E7&lt;Policy!$B$8,"below band",IF(E7&gt;Policy!$B$9,"above band","in band")))</f>
        <v>below band</v>
      </c>
      <c r="G7" s="27" t="n">
        <f aca="false">D7/Policy!$B$8</f>
        <v>2.0165</v>
      </c>
      <c r="H7" s="27" t="n">
        <f aca="false">D7/((Policy!$B$8+Policy!$B$9)/2)</f>
        <v>1.72842857142857</v>
      </c>
      <c r="I7" s="27" t="n">
        <f aca="false">D7/Policy!$B$9</f>
        <v>1.512375</v>
      </c>
      <c r="J7" s="26" t="n">
        <f aca="false">E7*0.8</f>
        <v>0.0467594202898551</v>
      </c>
      <c r="K7" s="28" t="n">
        <v>-0.130252100840336</v>
      </c>
      <c r="L7" s="9" t="s">
        <v>225</v>
      </c>
      <c r="M7" s="29" t="s">
        <v>318</v>
      </c>
    </row>
    <row r="8" customFormat="false" ht="15" hidden="false" customHeight="false" outlineLevel="0" collapsed="false">
      <c r="A8" s="4" t="s">
        <v>246</v>
      </c>
      <c r="B8" s="4" t="s">
        <v>247</v>
      </c>
      <c r="C8" s="24" t="n">
        <v>0.955</v>
      </c>
      <c r="D8" s="25" t="n">
        <v>0.0542</v>
      </c>
      <c r="E8" s="26" t="n">
        <f aca="false">IF(C8&gt;0,D8/C8,"")</f>
        <v>0.0567539267015707</v>
      </c>
      <c r="F8" s="0" t="str">
        <f aca="false">IF(E8="","no data",IF(E8&lt;Policy!$B$8,"below band",IF(E8&gt;Policy!$B$9,"above band","in band")))</f>
        <v>below band</v>
      </c>
      <c r="G8" s="27" t="n">
        <f aca="false">D8/Policy!$B$8</f>
        <v>0.903333333333333</v>
      </c>
      <c r="H8" s="27" t="n">
        <f aca="false">D8/((Policy!$B$8+Policy!$B$9)/2)</f>
        <v>0.774285714285714</v>
      </c>
      <c r="I8" s="27" t="n">
        <f aca="false">D8/Policy!$B$9</f>
        <v>0.6775</v>
      </c>
      <c r="J8" s="26" t="n">
        <f aca="false">E8*0.8</f>
        <v>0.0454031413612565</v>
      </c>
      <c r="K8" s="28" t="n">
        <v>-0.00520833333333337</v>
      </c>
      <c r="L8" s="9" t="s">
        <v>225</v>
      </c>
      <c r="M8" s="29" t="s">
        <v>319</v>
      </c>
    </row>
    <row r="9" customFormat="false" ht="15" hidden="false" customHeight="false" outlineLevel="0" collapsed="false">
      <c r="A9" s="4" t="s">
        <v>270</v>
      </c>
      <c r="B9" s="4" t="s">
        <v>271</v>
      </c>
      <c r="C9" s="24" t="n">
        <v>2.24</v>
      </c>
      <c r="D9" s="25" t="n">
        <v>0.1063</v>
      </c>
      <c r="E9" s="26" t="n">
        <f aca="false">IF(C9&gt;0,D9/C9,"")</f>
        <v>0.0474553571428571</v>
      </c>
      <c r="F9" s="0" t="str">
        <f aca="false">IF(E9="","no data",IF(E9&lt;Policy!$B$8,"below band",IF(E9&gt;Policy!$B$9,"above band","in band")))</f>
        <v>below band</v>
      </c>
      <c r="G9" s="27" t="n">
        <f aca="false">D9/Policy!$B$8</f>
        <v>1.77166666666667</v>
      </c>
      <c r="H9" s="27" t="n">
        <f aca="false">D9/((Policy!$B$8+Policy!$B$9)/2)</f>
        <v>1.51857142857143</v>
      </c>
      <c r="I9" s="27" t="n">
        <f aca="false">D9/Policy!$B$9</f>
        <v>1.32875</v>
      </c>
      <c r="J9" s="26" t="n">
        <f aca="false">E9*0.8</f>
        <v>0.0379642857142857</v>
      </c>
      <c r="K9" s="28" t="n">
        <v>-0.0427350427350426</v>
      </c>
      <c r="L9" s="9" t="s">
        <v>225</v>
      </c>
      <c r="M9" s="29" t="s">
        <v>320</v>
      </c>
    </row>
    <row r="10" customFormat="false" ht="15" hidden="false" customHeight="false" outlineLevel="0" collapsed="false">
      <c r="A10" s="4" t="s">
        <v>241</v>
      </c>
      <c r="B10" s="4" t="s">
        <v>242</v>
      </c>
      <c r="C10" s="24" t="n">
        <v>4.24</v>
      </c>
      <c r="D10" s="25" t="n">
        <v>0.185</v>
      </c>
      <c r="E10" s="26" t="n">
        <f aca="false">IF(C10&gt;0,D10/C10,"")</f>
        <v>0.0436320754716981</v>
      </c>
      <c r="F10" s="0" t="str">
        <f aca="false">IF(E10="","no data",IF(E10&lt;Policy!$B$8,"below band",IF(E10&gt;Policy!$B$9,"above band","in band")))</f>
        <v>below band</v>
      </c>
      <c r="G10" s="27" t="n">
        <f aca="false">D10/Policy!$B$8</f>
        <v>3.08333333333333</v>
      </c>
      <c r="H10" s="27" t="n">
        <f aca="false">D10/((Policy!$B$8+Policy!$B$9)/2)</f>
        <v>2.64285714285714</v>
      </c>
      <c r="I10" s="27" t="n">
        <f aca="false">D10/Policy!$B$9</f>
        <v>2.3125</v>
      </c>
      <c r="J10" s="26" t="n">
        <f aca="false">E10*0.8</f>
        <v>0.0349056603773585</v>
      </c>
      <c r="K10" s="28" t="n">
        <v>-0.00469483568075102</v>
      </c>
      <c r="L10" s="9" t="s">
        <v>225</v>
      </c>
      <c r="M10" s="29" t="s">
        <v>321</v>
      </c>
    </row>
    <row r="11" customFormat="false" ht="15" hidden="false" customHeight="false" outlineLevel="0" collapsed="false">
      <c r="A11" s="4" t="s">
        <v>159</v>
      </c>
      <c r="B11" s="4" t="s">
        <v>160</v>
      </c>
      <c r="C11" s="24" t="n">
        <v>73.36</v>
      </c>
      <c r="D11" s="25" t="n">
        <v>3.18</v>
      </c>
      <c r="E11" s="26" t="n">
        <f aca="false">IF(C11&gt;0,D11/C11,"")</f>
        <v>0.0433478735005453</v>
      </c>
      <c r="F11" s="0" t="str">
        <f aca="false">IF(E11="","no data",IF(E11&lt;Policy!$B$8,"below band",IF(E11&gt;Policy!$B$9,"above band","in band")))</f>
        <v>below band</v>
      </c>
      <c r="G11" s="27" t="n">
        <f aca="false">D11/Policy!$B$8</f>
        <v>53</v>
      </c>
      <c r="H11" s="27" t="n">
        <f aca="false">D11/((Policy!$B$8+Policy!$B$9)/2)</f>
        <v>45.4285714285714</v>
      </c>
      <c r="I11" s="27" t="n">
        <f aca="false">D11/Policy!$B$9</f>
        <v>39.75</v>
      </c>
      <c r="J11" s="26" t="n">
        <f aca="false">E11*0.8</f>
        <v>0.0346782988004362</v>
      </c>
      <c r="K11" s="28" t="n">
        <v>0.36230269266481</v>
      </c>
      <c r="L11" s="9" t="s">
        <v>111</v>
      </c>
      <c r="M11" s="29" t="s">
        <v>322</v>
      </c>
    </row>
    <row r="12" customFormat="false" ht="15" hidden="false" customHeight="false" outlineLevel="0" collapsed="false">
      <c r="A12" s="4" t="s">
        <v>220</v>
      </c>
      <c r="B12" s="4" t="s">
        <v>221</v>
      </c>
      <c r="C12" s="24" t="n">
        <v>3.98</v>
      </c>
      <c r="D12" s="25" t="n">
        <v>0.1641</v>
      </c>
      <c r="E12" s="26" t="n">
        <f aca="false">IF(C12&gt;0,D12/C12,"")</f>
        <v>0.0412311557788945</v>
      </c>
      <c r="F12" s="0" t="str">
        <f aca="false">IF(E12="","no data",IF(E12&lt;Policy!$B$8,"below band",IF(E12&gt;Policy!$B$9,"above band","in band")))</f>
        <v>below band</v>
      </c>
      <c r="G12" s="27" t="n">
        <f aca="false">D12/Policy!$B$8</f>
        <v>2.735</v>
      </c>
      <c r="H12" s="27" t="n">
        <f aca="false">D12/((Policy!$B$8+Policy!$B$9)/2)</f>
        <v>2.34428571428571</v>
      </c>
      <c r="I12" s="27" t="n">
        <f aca="false">D12/Policy!$B$9</f>
        <v>2.05125</v>
      </c>
      <c r="J12" s="26" t="n">
        <f aca="false">E12*0.8</f>
        <v>0.0329849246231156</v>
      </c>
      <c r="K12" s="28" t="n">
        <v>-0.038647342995169</v>
      </c>
      <c r="L12" s="9" t="s">
        <v>111</v>
      </c>
      <c r="M12" s="29" t="s">
        <v>323</v>
      </c>
    </row>
    <row r="13" customFormat="false" ht="15" hidden="false" customHeight="false" outlineLevel="0" collapsed="false">
      <c r="A13" s="4" t="s">
        <v>198</v>
      </c>
      <c r="B13" s="4" t="s">
        <v>199</v>
      </c>
      <c r="C13" s="24" t="n">
        <v>39.96</v>
      </c>
      <c r="D13" s="25" t="n">
        <v>1.59</v>
      </c>
      <c r="E13" s="26" t="n">
        <f aca="false">IF(C13&gt;0,D13/C13,"")</f>
        <v>0.0397897897897898</v>
      </c>
      <c r="F13" s="0" t="str">
        <f aca="false">IF(E13="","no data",IF(E13&lt;Policy!$B$8,"below band",IF(E13&gt;Policy!$B$9,"above band","in band")))</f>
        <v>below band</v>
      </c>
      <c r="G13" s="27" t="n">
        <f aca="false">D13/Policy!$B$8</f>
        <v>26.5</v>
      </c>
      <c r="H13" s="27" t="n">
        <f aca="false">D13/((Policy!$B$8+Policy!$B$9)/2)</f>
        <v>22.7142857142857</v>
      </c>
      <c r="I13" s="27" t="n">
        <f aca="false">D13/Policy!$B$9</f>
        <v>19.875</v>
      </c>
      <c r="J13" s="26" t="n">
        <f aca="false">E13*0.8</f>
        <v>0.0318318318318318</v>
      </c>
      <c r="K13" s="28" t="n">
        <v>0.13105009906595</v>
      </c>
      <c r="L13" s="9" t="s">
        <v>111</v>
      </c>
      <c r="M13" s="29" t="s">
        <v>324</v>
      </c>
    </row>
    <row r="14" customFormat="false" ht="15" hidden="false" customHeight="false" outlineLevel="0" collapsed="false">
      <c r="A14" s="4" t="s">
        <v>154</v>
      </c>
      <c r="B14" s="4" t="s">
        <v>155</v>
      </c>
      <c r="C14" s="24" t="n">
        <v>29</v>
      </c>
      <c r="D14" s="25" t="n">
        <v>1.05</v>
      </c>
      <c r="E14" s="26" t="n">
        <f aca="false">IF(C14&gt;0,D14/C14,"")</f>
        <v>0.0362068965517241</v>
      </c>
      <c r="F14" s="0" t="str">
        <f aca="false">IF(E14="","no data",IF(E14&lt;Policy!$B$8,"below band",IF(E14&gt;Policy!$B$9,"above band","in band")))</f>
        <v>below band</v>
      </c>
      <c r="G14" s="27" t="n">
        <f aca="false">D14/Policy!$B$8</f>
        <v>17.5</v>
      </c>
      <c r="H14" s="27" t="n">
        <f aca="false">D14/((Policy!$B$8+Policy!$B$9)/2)</f>
        <v>15</v>
      </c>
      <c r="I14" s="27" t="n">
        <f aca="false">D14/Policy!$B$9</f>
        <v>13.125</v>
      </c>
      <c r="J14" s="26" t="n">
        <f aca="false">E14*0.8</f>
        <v>0.0289655172413793</v>
      </c>
      <c r="K14" s="28" t="n">
        <v>0.718009478672986</v>
      </c>
      <c r="L14" s="9" t="s">
        <v>111</v>
      </c>
      <c r="M14" s="29" t="s">
        <v>325</v>
      </c>
    </row>
    <row r="15" customFormat="false" ht="15" hidden="false" customHeight="false" outlineLevel="0" collapsed="false">
      <c r="A15" s="4" t="s">
        <v>182</v>
      </c>
      <c r="B15" s="4" t="s">
        <v>183</v>
      </c>
      <c r="C15" s="24" t="n">
        <v>10.42</v>
      </c>
      <c r="D15" s="25" t="n">
        <v>0.24</v>
      </c>
      <c r="E15" s="26" t="n">
        <f aca="false">IF(C15&gt;0,D15/C15,"")</f>
        <v>0.0230326295585413</v>
      </c>
      <c r="F15" s="0" t="str">
        <f aca="false">IF(E15="","no data",IF(E15&lt;Policy!$B$8,"below band",IF(E15&gt;Policy!$B$9,"above band","in band")))</f>
        <v>below band</v>
      </c>
      <c r="G15" s="27" t="n">
        <f aca="false">D15/Policy!$B$8</f>
        <v>4</v>
      </c>
      <c r="H15" s="27" t="n">
        <f aca="false">D15/((Policy!$B$8+Policy!$B$9)/2)</f>
        <v>3.42857142857143</v>
      </c>
      <c r="I15" s="27" t="n">
        <f aca="false">D15/Policy!$B$9</f>
        <v>3</v>
      </c>
      <c r="J15" s="26" t="n">
        <f aca="false">E15*0.8</f>
        <v>0.018426103646833</v>
      </c>
      <c r="K15" s="28" t="n">
        <v>0.218713450292398</v>
      </c>
      <c r="L15" s="9" t="s">
        <v>111</v>
      </c>
      <c r="M15" s="29" t="s">
        <v>326</v>
      </c>
    </row>
    <row r="17" customFormat="false" ht="15" hidden="false" customHeight="false" outlineLevel="0" collapsed="false">
      <c r="A17" s="2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5" t="s">
        <v>328</v>
      </c>
      <c r="B1" s="5" t="s">
        <v>329</v>
      </c>
      <c r="C1" s="5" t="s">
        <v>330</v>
      </c>
      <c r="D1" s="5" t="s">
        <v>331</v>
      </c>
    </row>
    <row r="2" customFormat="false" ht="15" hidden="false" customHeight="false" outlineLevel="0" collapsed="false">
      <c r="A2" s="4" t="s">
        <v>332</v>
      </c>
      <c r="B2" s="4" t="s">
        <v>333</v>
      </c>
      <c r="C2" s="4" t="s">
        <v>334</v>
      </c>
      <c r="D2" s="28" t="n">
        <v>-0.0127528665983034</v>
      </c>
    </row>
    <row r="3" customFormat="false" ht="15" hidden="false" customHeight="false" outlineLevel="0" collapsed="false">
      <c r="A3" s="4" t="s">
        <v>335</v>
      </c>
      <c r="B3" s="4" t="s">
        <v>336</v>
      </c>
      <c r="C3" s="4" t="s">
        <v>337</v>
      </c>
      <c r="D3" s="28" t="n">
        <v>-0.0188782549659446</v>
      </c>
    </row>
    <row r="4" customFormat="false" ht="15" hidden="false" customHeight="false" outlineLevel="0" collapsed="false">
      <c r="A4" s="4" t="s">
        <v>338</v>
      </c>
      <c r="B4" s="4" t="s">
        <v>336</v>
      </c>
      <c r="C4" s="4" t="s">
        <v>339</v>
      </c>
      <c r="D4" s="28" t="n">
        <v>-0.00660327522451132</v>
      </c>
    </row>
    <row r="5" customFormat="false" ht="15" hidden="false" customHeight="false" outlineLevel="0" collapsed="false">
      <c r="A5" s="4" t="s">
        <v>340</v>
      </c>
      <c r="B5" s="4" t="s">
        <v>333</v>
      </c>
      <c r="C5" s="4" t="s">
        <v>334</v>
      </c>
      <c r="D5" s="28" t="n">
        <v>-0.0208884147378512</v>
      </c>
    </row>
    <row r="6" customFormat="false" ht="15" hidden="false" customHeight="false" outlineLevel="0" collapsed="false">
      <c r="A6" s="4" t="s">
        <v>341</v>
      </c>
      <c r="B6" s="4" t="s">
        <v>333</v>
      </c>
      <c r="C6" s="4" t="s">
        <v>334</v>
      </c>
      <c r="D6" s="28" t="n">
        <v>-0.00849671937600405</v>
      </c>
    </row>
    <row r="7" customFormat="false" ht="15" hidden="false" customHeight="false" outlineLevel="0" collapsed="false">
      <c r="A7" s="4" t="s">
        <v>342</v>
      </c>
      <c r="B7" s="4" t="s">
        <v>343</v>
      </c>
      <c r="C7" s="4" t="s">
        <v>344</v>
      </c>
      <c r="D7" s="28" t="n">
        <v>0.00107789548878423</v>
      </c>
    </row>
    <row r="8" customFormat="false" ht="15" hidden="false" customHeight="false" outlineLevel="0" collapsed="false">
      <c r="A8" s="4" t="s">
        <v>345</v>
      </c>
      <c r="B8" s="4" t="s">
        <v>336</v>
      </c>
      <c r="C8" s="4" t="s">
        <v>346</v>
      </c>
      <c r="D8" s="28" t="n">
        <v>-0.0131264168678695</v>
      </c>
    </row>
    <row r="9" customFormat="false" ht="15" hidden="false" customHeight="false" outlineLevel="0" collapsed="false">
      <c r="A9" s="4" t="s">
        <v>347</v>
      </c>
      <c r="B9" s="4" t="s">
        <v>333</v>
      </c>
      <c r="C9" s="4" t="s">
        <v>334</v>
      </c>
      <c r="D9" s="28" t="n">
        <v>0.00377317809400601</v>
      </c>
    </row>
    <row r="10" customFormat="false" ht="15" hidden="false" customHeight="false" outlineLevel="0" collapsed="false">
      <c r="A10" s="4" t="s">
        <v>348</v>
      </c>
      <c r="B10" s="4" t="s">
        <v>343</v>
      </c>
      <c r="C10" s="4" t="s">
        <v>349</v>
      </c>
      <c r="D10" s="28" t="n">
        <v>0.0268097343764495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3" min="12" style="0" width="10"/>
    <col collapsed="false" customWidth="true" hidden="false" outlineLevel="0" max="14" min="14" style="0" width="8"/>
    <col collapsed="false" customWidth="true" hidden="false" outlineLevel="0" max="15" min="15" style="0" width="12"/>
    <col collapsed="false" customWidth="true" hidden="false" outlineLevel="0" max="17" min="16" style="0" width="13"/>
  </cols>
  <sheetData>
    <row r="1" customFormat="false" ht="35.05" hidden="false" customHeight="false" outlineLevel="0" collapsed="false">
      <c r="A1" s="5" t="s">
        <v>350</v>
      </c>
      <c r="B1" s="5" t="s">
        <v>351</v>
      </c>
      <c r="C1" s="5" t="s">
        <v>352</v>
      </c>
      <c r="D1" s="5" t="s">
        <v>353</v>
      </c>
      <c r="E1" s="5" t="s">
        <v>354</v>
      </c>
      <c r="F1" s="5" t="s">
        <v>355</v>
      </c>
      <c r="G1" s="5" t="s">
        <v>356</v>
      </c>
      <c r="H1" s="5" t="s">
        <v>357</v>
      </c>
      <c r="I1" s="5" t="s">
        <v>358</v>
      </c>
      <c r="J1" s="5" t="s">
        <v>359</v>
      </c>
      <c r="K1" s="5" t="s">
        <v>360</v>
      </c>
      <c r="L1" s="5" t="s">
        <v>361</v>
      </c>
      <c r="M1" s="5" t="s">
        <v>362</v>
      </c>
      <c r="N1" s="5" t="s">
        <v>363</v>
      </c>
      <c r="O1" s="5" t="s">
        <v>364</v>
      </c>
      <c r="P1" s="5" t="s">
        <v>365</v>
      </c>
      <c r="Q1" s="5" t="s">
        <v>366</v>
      </c>
    </row>
    <row r="2" customFormat="false" ht="15" hidden="false" customHeight="false" outlineLevel="0" collapsed="false">
      <c r="A2" s="4" t="s">
        <v>81</v>
      </c>
      <c r="B2" s="4" t="s">
        <v>367</v>
      </c>
      <c r="C2" s="4" t="s">
        <v>368</v>
      </c>
      <c r="D2" s="4" t="s">
        <v>369</v>
      </c>
      <c r="E2" s="30" t="n">
        <v>70</v>
      </c>
      <c r="F2" s="31" t="n">
        <v>168.79</v>
      </c>
      <c r="G2" s="32" t="n">
        <v>4.87</v>
      </c>
      <c r="H2" s="23" t="n">
        <f aca="false">G2*100</f>
        <v>487</v>
      </c>
      <c r="I2" s="31" t="n">
        <v>174.87</v>
      </c>
      <c r="J2" s="33" t="n">
        <f aca="false">I2/F2-1</f>
        <v>0.0360210912968779</v>
      </c>
      <c r="K2" s="32" t="n">
        <v>10.13</v>
      </c>
      <c r="L2" s="34" t="n">
        <f aca="false">IF(K2="","open",K2/G2)</f>
        <v>2.08008213552361</v>
      </c>
      <c r="M2" s="7" t="n">
        <v>0.387158488416082</v>
      </c>
      <c r="N2" s="7" t="n">
        <v>0.281044545535459</v>
      </c>
      <c r="O2" s="35" t="n">
        <f aca="false">INT(Policy!$B$2*Policy!$B$11/H2)</f>
        <v>20</v>
      </c>
      <c r="P2" s="23" t="n">
        <f aca="false">O2*H2</f>
        <v>9740</v>
      </c>
      <c r="Q2" s="36" t="n">
        <f aca="false">G2*(1-0.5)</f>
        <v>2.435</v>
      </c>
    </row>
    <row r="3" customFormat="false" ht="15" hidden="false" customHeight="false" outlineLevel="0" collapsed="false">
      <c r="A3" s="4" t="s">
        <v>230</v>
      </c>
      <c r="B3" s="4" t="s">
        <v>370</v>
      </c>
      <c r="C3" s="4" t="s">
        <v>371</v>
      </c>
      <c r="D3" s="4" t="s">
        <v>369</v>
      </c>
      <c r="E3" s="30" t="n">
        <v>70</v>
      </c>
      <c r="F3" s="31" t="n">
        <v>384.5</v>
      </c>
      <c r="G3" s="32" t="n">
        <v>10.935</v>
      </c>
      <c r="H3" s="23" t="n">
        <f aca="false">G3*100</f>
        <v>1093.5</v>
      </c>
      <c r="I3" s="31" t="n">
        <v>374.065</v>
      </c>
      <c r="J3" s="33" t="n">
        <f aca="false">I3/F3-1</f>
        <v>-0.0271391417425227</v>
      </c>
      <c r="K3" s="32" t="n">
        <v>29.065</v>
      </c>
      <c r="L3" s="34" t="n">
        <f aca="false">IF(K3="","open",K3/G3)</f>
        <v>2.65797896662094</v>
      </c>
      <c r="M3" s="7" t="n">
        <v>0.369628364966556</v>
      </c>
      <c r="N3" s="7" t="n">
        <v>0.211865064588511</v>
      </c>
      <c r="O3" s="35" t="n">
        <f aca="false">INT(Policy!$B$2*Policy!$B$11/H3)</f>
        <v>9</v>
      </c>
      <c r="P3" s="23" t="n">
        <f aca="false">O3*H3</f>
        <v>9841.5</v>
      </c>
      <c r="Q3" s="36" t="n">
        <f aca="false">G3*(1-0.5)</f>
        <v>5.4675</v>
      </c>
    </row>
    <row r="4" customFormat="false" ht="15" hidden="false" customHeight="false" outlineLevel="0" collapsed="false">
      <c r="A4" s="4" t="s">
        <v>102</v>
      </c>
      <c r="B4" s="4" t="s">
        <v>367</v>
      </c>
      <c r="C4" s="4" t="s">
        <v>372</v>
      </c>
      <c r="D4" s="4" t="s">
        <v>369</v>
      </c>
      <c r="E4" s="30" t="n">
        <v>70</v>
      </c>
      <c r="F4" s="31" t="n">
        <v>351.6</v>
      </c>
      <c r="G4" s="32" t="n">
        <v>13.15</v>
      </c>
      <c r="H4" s="23" t="n">
        <f aca="false">G4*100</f>
        <v>1315</v>
      </c>
      <c r="I4" s="31" t="n">
        <v>363.15</v>
      </c>
      <c r="J4" s="33" t="n">
        <f aca="false">I4/F4-1</f>
        <v>0.0328498293515358</v>
      </c>
      <c r="K4" s="32" t="n">
        <v>21.85</v>
      </c>
      <c r="L4" s="34" t="n">
        <f aca="false">IF(K4="","open",K4/G4)</f>
        <v>1.66159695817491</v>
      </c>
      <c r="M4" s="7" t="n">
        <v>0.403716166404712</v>
      </c>
      <c r="N4" s="7" t="n">
        <v>0.326997925546259</v>
      </c>
      <c r="O4" s="35" t="n">
        <f aca="false">INT(Policy!$B$2*Policy!$B$11/H4)</f>
        <v>7</v>
      </c>
      <c r="P4" s="23" t="n">
        <f aca="false">O4*H4</f>
        <v>9205</v>
      </c>
      <c r="Q4" s="36" t="n">
        <f aca="false">G4*(1-0.5)</f>
        <v>6.575</v>
      </c>
    </row>
    <row r="5" customFormat="false" ht="15" hidden="false" customHeight="false" outlineLevel="0" collapsed="false">
      <c r="A5" s="4" t="s">
        <v>93</v>
      </c>
      <c r="B5" s="4" t="s">
        <v>367</v>
      </c>
      <c r="C5" s="4" t="s">
        <v>373</v>
      </c>
      <c r="D5" s="4" t="s">
        <v>369</v>
      </c>
      <c r="E5" s="30" t="n">
        <v>70</v>
      </c>
      <c r="F5" s="31" t="n">
        <v>336.08</v>
      </c>
      <c r="G5" s="32" t="n">
        <v>12.65</v>
      </c>
      <c r="H5" s="23" t="n">
        <f aca="false">G5*100</f>
        <v>1265</v>
      </c>
      <c r="I5" s="31" t="n">
        <v>347.65</v>
      </c>
      <c r="J5" s="33" t="n">
        <f aca="false">I5/F5-1</f>
        <v>0.0344263270649845</v>
      </c>
      <c r="K5" s="32" t="n">
        <v>22.35</v>
      </c>
      <c r="L5" s="34" t="n">
        <f aca="false">IF(K5="","open",K5/G5)</f>
        <v>1.76679841897233</v>
      </c>
      <c r="M5" s="7" t="n">
        <v>0.38331306816479</v>
      </c>
      <c r="N5" s="7" t="n">
        <v>0.246064122871679</v>
      </c>
      <c r="O5" s="35" t="n">
        <f aca="false">INT(Policy!$B$2*Policy!$B$11/H5)</f>
        <v>7</v>
      </c>
      <c r="P5" s="23" t="n">
        <f aca="false">O5*H5</f>
        <v>8855</v>
      </c>
      <c r="Q5" s="36" t="n">
        <f aca="false">G5*(1-0.5)</f>
        <v>6.325</v>
      </c>
    </row>
    <row r="6" customFormat="false" ht="15" hidden="false" customHeight="false" outlineLevel="0" collapsed="false">
      <c r="A6" s="4" t="s">
        <v>261</v>
      </c>
      <c r="B6" s="4" t="s">
        <v>370</v>
      </c>
      <c r="C6" s="4" t="s">
        <v>374</v>
      </c>
      <c r="D6" s="4" t="s">
        <v>369</v>
      </c>
      <c r="E6" s="30" t="n">
        <v>70</v>
      </c>
      <c r="F6" s="31" t="n">
        <v>141.55</v>
      </c>
      <c r="G6" s="32" t="n">
        <v>6.55</v>
      </c>
      <c r="H6" s="23" t="n">
        <f aca="false">G6*100</f>
        <v>655</v>
      </c>
      <c r="I6" s="31" t="n">
        <v>133.45</v>
      </c>
      <c r="J6" s="33" t="n">
        <f aca="false">I6/F6-1</f>
        <v>-0.0572235959025081</v>
      </c>
      <c r="K6" s="32" t="n">
        <v>8.45</v>
      </c>
      <c r="L6" s="34" t="n">
        <f aca="false">IF(K6="","open",K6/G6)</f>
        <v>1.29007633587786</v>
      </c>
      <c r="M6" s="7" t="n">
        <v>0.443122516868418</v>
      </c>
      <c r="N6" s="7" t="n">
        <v>0.568444856283021</v>
      </c>
      <c r="O6" s="35" t="n">
        <f aca="false">INT(Policy!$B$2*Policy!$B$11/H6)</f>
        <v>15</v>
      </c>
      <c r="P6" s="23" t="n">
        <f aca="false">O6*H6</f>
        <v>9825</v>
      </c>
      <c r="Q6" s="36" t="n">
        <f aca="false">G6*(1-0.5)</f>
        <v>3.275</v>
      </c>
    </row>
    <row r="7" customFormat="false" ht="15" hidden="false" customHeight="false" outlineLevel="0" collapsed="false">
      <c r="A7" s="4" t="s">
        <v>105</v>
      </c>
      <c r="B7" s="4" t="s">
        <v>367</v>
      </c>
      <c r="C7" s="4" t="s">
        <v>375</v>
      </c>
      <c r="D7" s="4" t="s">
        <v>369</v>
      </c>
      <c r="E7" s="30" t="n">
        <v>70</v>
      </c>
      <c r="F7" s="31" t="n">
        <v>229.33</v>
      </c>
      <c r="G7" s="32" t="n">
        <v>7.825</v>
      </c>
      <c r="H7" s="23" t="n">
        <f aca="false">G7*100</f>
        <v>782.5</v>
      </c>
      <c r="I7" s="31" t="n">
        <v>237.825</v>
      </c>
      <c r="J7" s="33" t="n">
        <f aca="false">I7/F7-1</f>
        <v>0.0370426895739762</v>
      </c>
      <c r="K7" s="32" t="n">
        <v>12.175</v>
      </c>
      <c r="L7" s="34" t="n">
        <f aca="false">IF(K7="","open",K7/G7)</f>
        <v>1.55591054313099</v>
      </c>
      <c r="M7" s="7" t="n">
        <v>0.394779768673195</v>
      </c>
      <c r="N7" s="7" t="n">
        <v>0.340953465060969</v>
      </c>
      <c r="O7" s="35" t="n">
        <f aca="false">INT(Policy!$B$2*Policy!$B$11/H7)</f>
        <v>12</v>
      </c>
      <c r="P7" s="23" t="n">
        <f aca="false">O7*H7</f>
        <v>9390</v>
      </c>
      <c r="Q7" s="36" t="n">
        <f aca="false">G7*(1-0.5)</f>
        <v>3.9125</v>
      </c>
    </row>
    <row r="8" customFormat="false" ht="15" hidden="false" customHeight="false" outlineLevel="0" collapsed="false">
      <c r="A8" s="4" t="s">
        <v>96</v>
      </c>
      <c r="B8" s="4" t="s">
        <v>367</v>
      </c>
      <c r="C8" s="4" t="s">
        <v>376</v>
      </c>
      <c r="D8" s="4" t="s">
        <v>369</v>
      </c>
      <c r="E8" s="30" t="n">
        <v>70</v>
      </c>
      <c r="F8" s="31" t="n">
        <v>751.38</v>
      </c>
      <c r="G8" s="32" t="n">
        <v>25.26</v>
      </c>
      <c r="H8" s="23" t="n">
        <f aca="false">G8*100</f>
        <v>2526</v>
      </c>
      <c r="I8" s="31" t="n">
        <v>776.26</v>
      </c>
      <c r="J8" s="33" t="n">
        <f aca="false">I8/F8-1</f>
        <v>0.0331124065053634</v>
      </c>
      <c r="K8" s="32" t="n">
        <v>48.74</v>
      </c>
      <c r="L8" s="34" t="n">
        <f aca="false">IF(K8="","open",K8/G8)</f>
        <v>1.92953285827395</v>
      </c>
      <c r="M8" s="7" t="n">
        <v>0.368962735908992</v>
      </c>
      <c r="N8" s="7" t="n">
        <v>0.194792627653838</v>
      </c>
      <c r="O8" s="35" t="n">
        <f aca="false">INT(Policy!$B$2*Policy!$B$11/H8)</f>
        <v>3</v>
      </c>
      <c r="P8" s="23" t="n">
        <f aca="false">O8*H8</f>
        <v>7578</v>
      </c>
      <c r="Q8" s="36" t="n">
        <f aca="false">G8*(1-0.5)</f>
        <v>12.63</v>
      </c>
    </row>
    <row r="9" customFormat="false" ht="15" hidden="false" customHeight="false" outlineLevel="0" collapsed="false">
      <c r="A9" s="4" t="s">
        <v>90</v>
      </c>
      <c r="B9" s="4" t="s">
        <v>367</v>
      </c>
      <c r="C9" s="4" t="s">
        <v>377</v>
      </c>
      <c r="D9" s="4" t="s">
        <v>369</v>
      </c>
      <c r="E9" s="30" t="n">
        <v>70</v>
      </c>
      <c r="F9" s="31" t="n">
        <v>778.57</v>
      </c>
      <c r="G9" s="32" t="n">
        <v>20.395</v>
      </c>
      <c r="H9" s="23" t="n">
        <f aca="false">G9*100</f>
        <v>2039.5</v>
      </c>
      <c r="I9" s="31" t="n">
        <v>799.395</v>
      </c>
      <c r="J9" s="33" t="n">
        <f aca="false">I9/F9-1</f>
        <v>0.0267477555004687</v>
      </c>
      <c r="K9" s="32" t="n">
        <v>55.605</v>
      </c>
      <c r="L9" s="34" t="n">
        <f aca="false">IF(K9="","open",K9/G9)</f>
        <v>2.72640353027703</v>
      </c>
      <c r="M9" s="7" t="n">
        <v>0.363472788907844</v>
      </c>
      <c r="N9" s="7" t="n">
        <v>0.133650255019125</v>
      </c>
      <c r="O9" s="35" t="n">
        <f aca="false">INT(Policy!$B$2*Policy!$B$11/H9)</f>
        <v>4</v>
      </c>
      <c r="P9" s="23" t="n">
        <f aca="false">O9*H9</f>
        <v>8158</v>
      </c>
      <c r="Q9" s="36" t="n">
        <f aca="false">G9*(1-0.5)</f>
        <v>10.1975</v>
      </c>
    </row>
    <row r="10" customFormat="false" ht="15" hidden="false" customHeight="false" outlineLevel="0" collapsed="false">
      <c r="A10" s="4" t="s">
        <v>261</v>
      </c>
      <c r="B10" s="4" t="s">
        <v>378</v>
      </c>
      <c r="C10" s="4" t="s">
        <v>379</v>
      </c>
      <c r="D10" s="4" t="s">
        <v>369</v>
      </c>
      <c r="E10" s="30" t="n">
        <v>70</v>
      </c>
      <c r="F10" s="31" t="n">
        <v>141.55</v>
      </c>
      <c r="G10" s="32" t="n">
        <v>10.15</v>
      </c>
      <c r="H10" s="23" t="n">
        <f aca="false">G10*100</f>
        <v>1015</v>
      </c>
      <c r="I10" s="31" t="n">
        <v>124.85</v>
      </c>
      <c r="J10" s="33" t="n">
        <f aca="false">I10/F10-1</f>
        <v>-0.117979512539739</v>
      </c>
      <c r="K10" s="32"/>
      <c r="L10" s="34" t="str">
        <f aca="false">IF(K10="","open",K10/G10)</f>
        <v>open</v>
      </c>
      <c r="M10" s="7" t="n">
        <v>0.339881226108832</v>
      </c>
      <c r="N10" s="7" t="n">
        <v>0.566607287616487</v>
      </c>
      <c r="O10" s="35" t="n">
        <f aca="false">INT(Policy!$B$2*Policy!$B$11/H10)</f>
        <v>9</v>
      </c>
      <c r="P10" s="23" t="n">
        <f aca="false">O10*H10</f>
        <v>9135</v>
      </c>
      <c r="Q10" s="36" t="n">
        <f aca="false">G10*(1-0.5)</f>
        <v>5.075</v>
      </c>
    </row>
    <row r="11" customFormat="false" ht="15" hidden="false" customHeight="false" outlineLevel="0" collapsed="false">
      <c r="A11" s="4" t="s">
        <v>81</v>
      </c>
      <c r="B11" s="4" t="s">
        <v>380</v>
      </c>
      <c r="C11" s="4" t="s">
        <v>381</v>
      </c>
      <c r="D11" s="4" t="s">
        <v>369</v>
      </c>
      <c r="E11" s="30" t="n">
        <v>70</v>
      </c>
      <c r="F11" s="31" t="n">
        <v>168.79</v>
      </c>
      <c r="G11" s="32" t="n">
        <v>5.65</v>
      </c>
      <c r="H11" s="23" t="n">
        <f aca="false">G11*100</f>
        <v>565</v>
      </c>
      <c r="I11" s="31" t="n">
        <v>180.65</v>
      </c>
      <c r="J11" s="33" t="n">
        <f aca="false">I11/F11-1</f>
        <v>0.0702648261152912</v>
      </c>
      <c r="K11" s="32"/>
      <c r="L11" s="34" t="str">
        <f aca="false">IF(K11="","open",K11/G11)</f>
        <v>open</v>
      </c>
      <c r="M11" s="7" t="n">
        <v>0.289317614247436</v>
      </c>
      <c r="N11" s="7" t="n">
        <v>0.278166458712079</v>
      </c>
      <c r="O11" s="35" t="n">
        <f aca="false">INT(Policy!$B$2*Policy!$B$11/H11)</f>
        <v>17</v>
      </c>
      <c r="P11" s="23" t="n">
        <f aca="false">O11*H11</f>
        <v>9605</v>
      </c>
      <c r="Q11" s="36" t="n">
        <f aca="false">G11*(1-0.5)</f>
        <v>2.825</v>
      </c>
    </row>
    <row r="12" customFormat="false" ht="15" hidden="false" customHeight="false" outlineLevel="0" collapsed="false">
      <c r="A12" s="4" t="s">
        <v>105</v>
      </c>
      <c r="B12" s="4" t="s">
        <v>380</v>
      </c>
      <c r="C12" s="4" t="s">
        <v>382</v>
      </c>
      <c r="D12" s="4" t="s">
        <v>369</v>
      </c>
      <c r="E12" s="30" t="n">
        <v>70</v>
      </c>
      <c r="F12" s="31" t="n">
        <v>229.33</v>
      </c>
      <c r="G12" s="32" t="n">
        <v>9.725</v>
      </c>
      <c r="H12" s="23" t="n">
        <f aca="false">G12*100</f>
        <v>972.5</v>
      </c>
      <c r="I12" s="31" t="n">
        <v>249.725</v>
      </c>
      <c r="J12" s="33" t="n">
        <f aca="false">I12/F12-1</f>
        <v>0.0889329786770157</v>
      </c>
      <c r="K12" s="32"/>
      <c r="L12" s="34" t="str">
        <f aca="false">IF(K12="","open",K12/G12)</f>
        <v>open</v>
      </c>
      <c r="M12" s="7" t="n">
        <v>0.273762735822154</v>
      </c>
      <c r="N12" s="7" t="n">
        <v>0.335245429054431</v>
      </c>
      <c r="O12" s="35" t="n">
        <f aca="false">INT(Policy!$B$2*Policy!$B$11/H12)</f>
        <v>10</v>
      </c>
      <c r="P12" s="23" t="n">
        <f aca="false">O12*H12</f>
        <v>9725</v>
      </c>
      <c r="Q12" s="36" t="n">
        <f aca="false">G12*(1-0.5)</f>
        <v>4.8625</v>
      </c>
    </row>
    <row r="13" customFormat="false" ht="15" hidden="false" customHeight="false" outlineLevel="0" collapsed="false">
      <c r="A13" s="4" t="s">
        <v>102</v>
      </c>
      <c r="B13" s="4" t="s">
        <v>380</v>
      </c>
      <c r="C13" s="4" t="s">
        <v>383</v>
      </c>
      <c r="D13" s="4" t="s">
        <v>369</v>
      </c>
      <c r="E13" s="30" t="n">
        <v>70</v>
      </c>
      <c r="F13" s="31" t="n">
        <v>351.6</v>
      </c>
      <c r="G13" s="32" t="n">
        <v>13.675</v>
      </c>
      <c r="H13" s="23" t="n">
        <f aca="false">G13*100</f>
        <v>1367.5</v>
      </c>
      <c r="I13" s="31" t="n">
        <v>383.675</v>
      </c>
      <c r="J13" s="33" t="n">
        <f aca="false">I13/F13-1</f>
        <v>0.0912258248009101</v>
      </c>
      <c r="K13" s="32"/>
      <c r="L13" s="34" t="str">
        <f aca="false">IF(K13="","open",K13/G13)</f>
        <v>open</v>
      </c>
      <c r="M13" s="7" t="n">
        <v>0.263871389642364</v>
      </c>
      <c r="N13" s="7" t="n">
        <v>0.324467860851498</v>
      </c>
      <c r="O13" s="35" t="n">
        <f aca="false">INT(Policy!$B$2*Policy!$B$11/H13)</f>
        <v>7</v>
      </c>
      <c r="P13" s="23" t="n">
        <f aca="false">O13*H13</f>
        <v>9572.5</v>
      </c>
      <c r="Q13" s="36" t="n">
        <f aca="false">G13*(1-0.5)</f>
        <v>6.8375</v>
      </c>
    </row>
    <row r="14" customFormat="false" ht="15" hidden="false" customHeight="false" outlineLevel="0" collapsed="false">
      <c r="A14" s="4" t="s">
        <v>230</v>
      </c>
      <c r="B14" s="4" t="s">
        <v>378</v>
      </c>
      <c r="C14" s="4" t="s">
        <v>384</v>
      </c>
      <c r="D14" s="4" t="s">
        <v>369</v>
      </c>
      <c r="E14" s="30" t="n">
        <v>70</v>
      </c>
      <c r="F14" s="31" t="n">
        <v>384.5</v>
      </c>
      <c r="G14" s="32" t="n">
        <v>5.525</v>
      </c>
      <c r="H14" s="23" t="n">
        <f aca="false">G14*100</f>
        <v>552.5</v>
      </c>
      <c r="I14" s="31" t="n">
        <v>359.475</v>
      </c>
      <c r="J14" s="33" t="n">
        <f aca="false">I14/F14-1</f>
        <v>-0.0650845253576072</v>
      </c>
      <c r="K14" s="32"/>
      <c r="L14" s="34" t="str">
        <f aca="false">IF(K14="","open",K14/G14)</f>
        <v>open</v>
      </c>
      <c r="M14" s="7" t="n">
        <v>0.22652457613958</v>
      </c>
      <c r="N14" s="7" t="n">
        <v>0.214702125013975</v>
      </c>
      <c r="O14" s="35" t="n">
        <f aca="false">INT(Policy!$B$2*Policy!$B$11/H14)</f>
        <v>18</v>
      </c>
      <c r="P14" s="23" t="n">
        <f aca="false">O14*H14</f>
        <v>9945</v>
      </c>
      <c r="Q14" s="36" t="n">
        <f aca="false">G14*(1-0.5)</f>
        <v>2.7625</v>
      </c>
    </row>
    <row r="15" customFormat="false" ht="15" hidden="false" customHeight="false" outlineLevel="0" collapsed="false">
      <c r="A15" s="4" t="s">
        <v>93</v>
      </c>
      <c r="B15" s="4" t="s">
        <v>380</v>
      </c>
      <c r="C15" s="4" t="s">
        <v>385</v>
      </c>
      <c r="D15" s="4" t="s">
        <v>369</v>
      </c>
      <c r="E15" s="30" t="n">
        <v>70</v>
      </c>
      <c r="F15" s="31" t="n">
        <v>336.08</v>
      </c>
      <c r="G15" s="32" t="n">
        <v>7.75</v>
      </c>
      <c r="H15" s="23" t="n">
        <f aca="false">G15*100</f>
        <v>775</v>
      </c>
      <c r="I15" s="31" t="n">
        <v>362.75</v>
      </c>
      <c r="J15" s="33" t="n">
        <f aca="false">I15/F15-1</f>
        <v>0.0793561056891217</v>
      </c>
      <c r="K15" s="32"/>
      <c r="L15" s="34" t="str">
        <f aca="false">IF(K15="","open",K15/G15)</f>
        <v>open</v>
      </c>
      <c r="M15" s="7" t="n">
        <v>0.237030626911625</v>
      </c>
      <c r="N15" s="7" t="n">
        <v>0.236173523215233</v>
      </c>
      <c r="O15" s="35" t="n">
        <f aca="false">INT(Policy!$B$2*Policy!$B$11/H15)</f>
        <v>12</v>
      </c>
      <c r="P15" s="23" t="n">
        <f aca="false">O15*H15</f>
        <v>9300</v>
      </c>
      <c r="Q15" s="36" t="n">
        <f aca="false">G15*(1-0.5)</f>
        <v>3.875</v>
      </c>
    </row>
    <row r="16" customFormat="false" ht="15" hidden="false" customHeight="false" outlineLevel="0" collapsed="false">
      <c r="A16" s="4" t="s">
        <v>96</v>
      </c>
      <c r="B16" s="4" t="s">
        <v>380</v>
      </c>
      <c r="C16" s="4" t="s">
        <v>386</v>
      </c>
      <c r="D16" s="4" t="s">
        <v>369</v>
      </c>
      <c r="E16" s="30" t="n">
        <v>70</v>
      </c>
      <c r="F16" s="31" t="n">
        <v>751.38</v>
      </c>
      <c r="G16" s="32" t="n">
        <v>11.02</v>
      </c>
      <c r="H16" s="23" t="n">
        <f aca="false">G16*100</f>
        <v>1102</v>
      </c>
      <c r="I16" s="31" t="n">
        <v>800.02</v>
      </c>
      <c r="J16" s="33" t="n">
        <f aca="false">I16/F16-1</f>
        <v>0.0647342223641831</v>
      </c>
      <c r="K16" s="32"/>
      <c r="L16" s="34" t="str">
        <f aca="false">IF(K16="","open",K16/G16)</f>
        <v>open</v>
      </c>
      <c r="M16" s="7" t="n">
        <v>0.224316324820298</v>
      </c>
      <c r="N16" s="7" t="n">
        <v>0.174740994153321</v>
      </c>
      <c r="O16" s="35" t="n">
        <f aca="false">INT(Policy!$B$2*Policy!$B$11/H16)</f>
        <v>9</v>
      </c>
      <c r="P16" s="23" t="n">
        <f aca="false">O16*H16</f>
        <v>9918</v>
      </c>
      <c r="Q16" s="36" t="n">
        <f aca="false">G16*(1-0.5)</f>
        <v>5.51</v>
      </c>
    </row>
    <row r="17" customFormat="false" ht="15" hidden="false" customHeight="false" outlineLevel="0" collapsed="false">
      <c r="A17" s="4" t="s">
        <v>90</v>
      </c>
      <c r="B17" s="4" t="s">
        <v>380</v>
      </c>
      <c r="C17" s="4" t="s">
        <v>387</v>
      </c>
      <c r="D17" s="4" t="s">
        <v>369</v>
      </c>
      <c r="E17" s="30" t="n">
        <v>70</v>
      </c>
      <c r="F17" s="31" t="n">
        <v>778.57</v>
      </c>
      <c r="G17" s="32" t="n">
        <v>4.66</v>
      </c>
      <c r="H17" s="23" t="n">
        <f aca="false">G17*100</f>
        <v>466</v>
      </c>
      <c r="I17" s="31" t="n">
        <v>821.66</v>
      </c>
      <c r="J17" s="33" t="n">
        <f aca="false">I17/F17-1</f>
        <v>0.0553450556790012</v>
      </c>
      <c r="K17" s="32"/>
      <c r="L17" s="34" t="str">
        <f aca="false">IF(K17="","open",K17/G17)</f>
        <v>open</v>
      </c>
      <c r="M17" s="7" t="n">
        <v>0.171791316837144</v>
      </c>
      <c r="N17" s="7" t="n">
        <v>0.114405791873116</v>
      </c>
      <c r="O17" s="35" t="n">
        <f aca="false">INT(Policy!$B$2*Policy!$B$11/H17)</f>
        <v>21</v>
      </c>
      <c r="P17" s="23" t="n">
        <f aca="false">O17*H17</f>
        <v>9786</v>
      </c>
      <c r="Q17" s="36" t="n">
        <f aca="false">G17*(1-0.5)</f>
        <v>2.33</v>
      </c>
    </row>
    <row r="19" customFormat="false" ht="15" hidden="false" customHeight="false" outlineLevel="0" collapsed="false">
      <c r="A19" s="9" t="s">
        <v>388</v>
      </c>
      <c r="O19" s="9" t="s">
        <v>389</v>
      </c>
      <c r="P19" s="23" t="n">
        <f aca="false">SUM(P2:P17)</f>
        <v>149579</v>
      </c>
    </row>
    <row r="20" customFormat="false" ht="15" hidden="false" customHeight="false" outlineLevel="0" collapsed="false">
      <c r="O20" s="9" t="s">
        <v>390</v>
      </c>
      <c r="P20" s="23" t="n">
        <f aca="false">Policy!$B$2*Policy!$B$10</f>
        <v>50000</v>
      </c>
    </row>
    <row r="21" customFormat="false" ht="15" hidden="false" customHeight="false" outlineLevel="0" collapsed="false">
      <c r="O21" s="9" t="s">
        <v>391</v>
      </c>
      <c r="P21" s="0" t="str">
        <f aca="false">IF(P19&lt;=P20,"Yes","No: pick fewer trades")</f>
        <v>No: pick fewer trades</v>
      </c>
    </row>
    <row r="23" customFormat="false" ht="15" hidden="false" customHeight="false" outlineLevel="0" collapsed="false">
      <c r="A23" s="2" t="s">
        <v>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9" min="7" style="0" width="40"/>
    <col collapsed="false" customWidth="true" hidden="false" outlineLevel="0" max="10" min="10" style="0" width="11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5" t="s">
        <v>393</v>
      </c>
      <c r="B1" s="5" t="s">
        <v>51</v>
      </c>
      <c r="C1" s="5" t="s">
        <v>56</v>
      </c>
      <c r="D1" s="5" t="s">
        <v>394</v>
      </c>
      <c r="E1" s="5" t="s">
        <v>395</v>
      </c>
      <c r="F1" s="5" t="s">
        <v>62</v>
      </c>
      <c r="G1" s="5" t="s">
        <v>396</v>
      </c>
      <c r="H1" s="5" t="s">
        <v>397</v>
      </c>
      <c r="I1" s="5" t="s">
        <v>398</v>
      </c>
      <c r="J1" s="5" t="s">
        <v>399</v>
      </c>
      <c r="K1" s="5" t="s">
        <v>400</v>
      </c>
    </row>
    <row r="2" customFormat="false" ht="15" hidden="false" customHeight="false" outlineLevel="0" collapsed="false">
      <c r="A2" s="37" t="s">
        <v>401</v>
      </c>
      <c r="B2" s="37" t="s">
        <v>70</v>
      </c>
      <c r="C2" s="37" t="s">
        <v>75</v>
      </c>
      <c r="D2" s="37" t="n">
        <v>65.08</v>
      </c>
      <c r="E2" s="38" t="n">
        <v>0.029</v>
      </c>
      <c r="F2" s="37" t="n">
        <v>55.59</v>
      </c>
      <c r="G2" s="37" t="s">
        <v>402</v>
      </c>
      <c r="H2" s="37" t="s">
        <v>403</v>
      </c>
      <c r="I2" s="37" t="s">
        <v>404</v>
      </c>
      <c r="J2" s="37" t="s">
        <v>405</v>
      </c>
      <c r="K2" s="37"/>
    </row>
  </sheetData>
  <dataValidations count="1">
    <dataValidation allowBlank="true" errorStyle="stop" operator="between" showDropDown="false" showErrorMessage="false" showInputMessage="false" sqref="C2:C500" type="list">
      <formula1>"Accumulate,Hold,Watch,Avoid"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2026-10-11T13:18:22Z</dcterms:created>
  <dc:creator>openpyxl</dc:creator>
  <dc:description/>
  <dc:language>en-US</dc:language>
  <cp:lastModifiedBy/>
  <dcterms:modified xsi:type="dcterms:W3CDTF">2026-10-11T13:18:23Z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