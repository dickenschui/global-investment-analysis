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<sst xmlns="http://schemas.openxmlformats.org/spreadsheetml/2006/main" count="859" uniqueCount="406">
  <si>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</si>
  <si>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</si>
  <si>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</si>
  <si>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</si>
  <si>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</si>
  <si>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</si>
  <si>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</si>
  <si>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</si>
  <si>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</si>
  <si>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</si>
  <si>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</si>
  <si>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</si>
  <si>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</si>
  <si>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</si>
  <si>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</si>
  <si>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</si>
  <si>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</si>
  <si>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</si>
  <si>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</si>
  <si>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</si>
  <si>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</si>
  <si>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</si>
  <si>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</si>
  <si>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</si>
  <si>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</si>
  <si>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</si>
  <si>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</si>
  <si>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</si>
  <si>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</si>
  <si>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</si>
  <si>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</si>
  <si>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</si>
  <si>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</si>
  <si>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</si>
  <si>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</si>
  <si>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</si>
  <si>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</si>
  <si>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</si>
  <si>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</si>
  <si>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</si>
  <si>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</si>
  <si>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</si>
  <si>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</si>
  <si>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</si>
  <si>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</si>
  <si>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</si>
  <si>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</si>
  <si>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</si>
  <si>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</si>
  <si>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</si>
  <si>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</si>
  <si>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</si>
  <si>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</si>
  <si>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</si>
  <si>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</si>
  <si>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</si>
  <si>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</si>
  <si>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</si>
  <si>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</si>
  <si>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</si>
  <si>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</si>
  <si>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</si>
  <si>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</si>
  <si>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</si>
  <si>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</si>
  <si>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</si>
  <si>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</si>
  <si>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</si>
  <si>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</si>
  <si>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</si>
  <si>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</si>
  <si>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</si>
  <si>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</si>
  <si>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</si>
  <si>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</si>
  <si>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</si>
  <si>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</si>
  <si>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</si>
  <si>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</si>
  <si>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</si>
  <si>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</si>
  <si>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</si>
  <si>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</si>
  <si>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</si>
  <si>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</si>
  <si>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</si>
  <si>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</si>
  <si>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</si>
  <si>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</si>
  <si>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</si>
  <si>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</si>
  <si>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</si>
  <si>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</si>
  <si>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</si>
  <si>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</si>
  <si>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</si>
  <si>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</si>
  <si>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</si>
  <si>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</si>
  <si>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</si>
  <si>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</si>
  <si>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</si>
  <si>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</si>
  <si>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</si>
  <si>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</si>
  <si>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</si>
  <si>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</si>
  <si>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</si>
  <si>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</si>
  <si>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</si>
  <si>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</si>
  <si>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</si>
  <si>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</si>
  <si>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</si>
  <si>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</si>
  <si>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</si>
  <si>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</si>
  <si>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</si>
  <si>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</si>
  <si>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</si>
  <si>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</si>
  <si>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</si>
  <si>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</si>
  <si>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</si>
  <si>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</si>
  <si>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</si>
  <si>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</si>
  <si>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</si>
  <si>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</si>
  <si>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</si>
  <si>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</si>
  <si>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</si>
  <si>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</si>
  <si>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</si>
  <si>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</si>
  <si>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</si>
  <si>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</si>
  <si>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</si>
  <si>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</si>
  <si>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</si>
  <si>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</si>
  <si>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</si>
  <si>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</si>
  <si>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</si>
  <si>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</si>
  <si>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</si>
  <si>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</si>
  <si>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</si>
  <si>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</si>
  <si>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</si>
  <si>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</si>
  <si>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</si>
  <si>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</si>
  <si>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</si>
  <si>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</si>
  <si>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</si>
  <si>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</si>
  <si>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</si>
  <si>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</si>
  <si>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</si>
  <si>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</si>
  <si>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</si>
  <si>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</si>
  <si>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</si>
  <si>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</si>
  <si>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</si>
  <si>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</si>
  <si>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</si>
  <si>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</si>
  <si>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</si>
  <si>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</si>
  <si>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</si>
  <si>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</si>
  <si>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</si>
  <si>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</si>
  <si>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</si>
  <si>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</si>
  <si>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</si>
  <si>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</si>
  <si>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</si>
  <si>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</si>
  <si>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</si>
  <si>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</si>
  <si>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</si>
  <si>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</si>
  <si>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</si>
  <si>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</si>
  <si>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</si>
  <si>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</si>
  <si>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</si>
  <si>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</si>
  <si>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</si>
  <si>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</si>
  <si>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</si>
  <si>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</si>
  <si>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</si>
  <si>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</si>
  <si>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</si>
  <si>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</si>
  <si>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</si>
  <si>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</si>
  <si>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</si>
  <si>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</si>
  <si>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</si>
  <si>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</si>
  <si>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</si>
  <si>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</si>
  <si>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</si>
  <si>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</si>
  <si>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</si>
  <si>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</si>
  <si>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</si>
  <si>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</si>
  <si>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</si>
  <si>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</si>
  <si>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</si>
  <si>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</si>
  <si>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</si>
  <si>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</si>
  <si>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</si>
  <si>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</si>
  <si>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</si>
  <si>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</si>
  <si>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</si>
  <si>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</si>
  <si>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</si>
  <si>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</si>
  <si>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</si>
  <si>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</si>
  <si>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</si>
  <si>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</si>
  <si>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</si>
  <si>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</si>
  <si>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</si>
  <si>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</si>
  <si>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</si>
  <si>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</si>
  <si>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</si>
  <si>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</si>
  <si>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</si>
  <si>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</si>
  <si>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</si>
  <si>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</si>
  <si>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</si>
  <si>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</si>
  <si>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</si>
  <si>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</si>
  <si>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</si>
  <si>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</si>
  <si>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</si>
  <si>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</si>
  <si>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</si>
  <si>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</si>
  <si>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</si>
  <si>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</si>
  <si>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</si>
  <si>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</si>
  <si>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</si>
  <si>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</si>
  <si>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</si>
  <si>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</si>
  <si>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</si>
  <si>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</si>
  <si>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</si>
  <si>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</si>
  <si>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</si>
  <si>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</si>
  <si>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</si>
  <si>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</si>
  <si>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</si>
  <si>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</si>
  <si>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</si>
  <si>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</si>
  <si>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</si>
  <si>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</si>
  <si>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</si>
  <si>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</si>
  <si>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</si>
  <si>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</si>
  <si>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</si>
  <si>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</si>
  <si>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</si>
  <si>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</si>
  <si>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</si>
  <si>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</si>
  <si>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</si>
  <si>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</si>
  <si>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</si>
  <si>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</si>
  <si>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</si>
  <si>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</si>
  <si>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</si>
  <si>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</si>
  <si>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</si>
  <si>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</si>
  <si>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</si>
  <si>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</si>
  <si>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</si>
  <si>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</si>
  <si>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</si>
  <si>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</si>
  <si>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</si>
  <si>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</si>
  <si>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</si>
  <si>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</si>
  <si>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</si>
  <si>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</si>
  <si>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</si>
  <si>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</si>
  <si>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</si>
  <si>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</si>
  <si>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</si>
  <si>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</si>
  <si>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</si>
  <si>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</si>
  <si>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</si>
  <si>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</si>
  <si>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in target band but price in down-trend: stage in thirds (now, at 1.889 for 7% yield, and after trend repair).</t>
  </si>
  <si>
    <t xml:space="preserve">Yield 5.84% below band; would reach 6% at 2.016.</t>
  </si>
  <si>
    <t xml:space="preserve">Yield 5.68% below band; would reach 6% at 0.903.</t>
  </si>
  <si>
    <t xml:space="preserve">Yield 4.75% below band; would reach 6% at 1.772.</t>
  </si>
  <si>
    <t xml:space="preserve">Yield 4.36% below band; would reach 6% at 3.083.</t>
  </si>
  <si>
    <t xml:space="preserve">Yield 4.33% below band; would reach 6% at 53.000.</t>
  </si>
  <si>
    <t xml:space="preserve">Yield 4.12% below band; would reach 6% at 2.735.</t>
  </si>
  <si>
    <t xml:space="preserve">Yield 3.98% below band; would reach 6% at 26.500.</t>
  </si>
  <si>
    <t xml:space="preserve">Yield 3.62% below band; would reach 6% at 17.500.</t>
  </si>
  <si>
    <t xml:space="preserve">Yield 2.30% below band; would reach 6% at 4.000.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</si>
  <si>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</si>
  <si>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</si>
  <si>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</si>
  <si>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</si>
  <si>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</si>
  <si>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</si>
  <si>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</si>
  <si>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</si>
  <si>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</si>
  <si>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</si>
  <si>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</si>
  <si>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</si>
  <si>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</si>
  <si>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</si>
  <si>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</si>
  <si>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</si>
  <si>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</si>
  <si>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</si>
  <si>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</si>
  <si>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</si>
  <si>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</si>
  <si>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</si>
  <si>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</si>
  <si>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</si>
  <si>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</si>
  <si>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</si>
  <si>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</si>
  <si>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</si>
  <si>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</si>
  <si>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</si>
  <si>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</si>
  <si>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</si>
  <si>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</si>
  <si>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</si>
  <si>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</si>
  <si>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</si>
  <si>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</si>
  <si>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</si>
  <si>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</si>
  <si>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</si>
  <si>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</si>
  <si>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</si>
  <si>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</si>
  <si>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</si>
  <si>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</si>
  <si>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</si>
  <si>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</si>
  <si>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</si>
  <si>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Buy 230C / Sell 250C</t>
  </si>
  <si>
    <t xml:space="preserve">Buy 751C / Sell 825C</t>
  </si>
  <si>
    <t xml:space="preserve">Buy 779C / Sell 855C</t>
  </si>
  <si>
    <t xml:space="preserve">Long put</t>
  </si>
  <si>
    <t xml:space="preserve">Buy 135P</t>
  </si>
  <si>
    <t xml:space="preserve">Long call</t>
  </si>
  <si>
    <t xml:space="preserve">Buy 175C</t>
  </si>
  <si>
    <t xml:space="preserve">Buy 240C</t>
  </si>
  <si>
    <t xml:space="preserve">Buy 370C</t>
  </si>
  <si>
    <t xml:space="preserve">Buy 365P</t>
  </si>
  <si>
    <t xml:space="preserve">Buy 355C</t>
  </si>
  <si>
    <t xml:space="preserve">Buy 789C</t>
  </si>
  <si>
    <t xml:space="preserve">Buy 817C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</si>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</sst>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3" customFormat="false" ht="15" hidden="false" customHeight="false" outlineLevel="0" collapsed="false">
      <c r="A13" s="9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67</v>
      </c>
      <c r="R1" s="5" t="s">
        <v>68</v>
      </c>
      <c r="S1" s="5" t="s">
        <v>69</v>
      </c>
    </row>
    <row r="2" customFormat="false" ht="15" hidden="false" customHeight="false" outlineLevel="0" collapsed="false">
      <c r="A2" s="10" t="s">
        <v>70</v>
      </c>
      <c r="B2" s="10" t="s">
        <v>71</v>
      </c>
      <c r="C2" s="10" t="s">
        <v>72</v>
      </c>
      <c r="D2" s="10" t="s">
        <v>73</v>
      </c>
      <c r="E2" s="10" t="s">
        <v>74</v>
      </c>
      <c r="F2" s="11" t="s">
        <v>75</v>
      </c>
      <c r="G2" s="12" t="s">
        <v>76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77</v>
      </c>
      <c r="B3" s="10" t="s">
        <v>78</v>
      </c>
      <c r="C3" s="10" t="s">
        <v>79</v>
      </c>
      <c r="D3" s="10" t="s">
        <v>73</v>
      </c>
      <c r="E3" s="10" t="s">
        <v>80</v>
      </c>
      <c r="F3" s="11" t="s">
        <v>75</v>
      </c>
      <c r="G3" s="12" t="s">
        <v>76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81</v>
      </c>
      <c r="B4" s="10" t="s">
        <v>82</v>
      </c>
      <c r="C4" s="10" t="s">
        <v>72</v>
      </c>
      <c r="D4" s="10" t="s">
        <v>73</v>
      </c>
      <c r="E4" s="10" t="s">
        <v>80</v>
      </c>
      <c r="F4" s="11" t="s">
        <v>75</v>
      </c>
      <c r="G4" s="12" t="s">
        <v>76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83</v>
      </c>
      <c r="B5" s="10" t="s">
        <v>84</v>
      </c>
      <c r="C5" s="10" t="s">
        <v>85</v>
      </c>
      <c r="D5" s="10" t="s">
        <v>86</v>
      </c>
      <c r="E5" s="10" t="s">
        <v>74</v>
      </c>
      <c r="F5" s="11" t="s">
        <v>75</v>
      </c>
      <c r="G5" s="12" t="s">
        <v>76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87</v>
      </c>
      <c r="B6" s="10" t="s">
        <v>88</v>
      </c>
      <c r="C6" s="10" t="s">
        <v>72</v>
      </c>
      <c r="D6" s="10" t="s">
        <v>89</v>
      </c>
      <c r="E6" s="10" t="s">
        <v>74</v>
      </c>
      <c r="F6" s="11" t="s">
        <v>75</v>
      </c>
      <c r="G6" s="12" t="s">
        <v>76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90</v>
      </c>
      <c r="B7" s="10" t="s">
        <v>91</v>
      </c>
      <c r="C7" s="10" t="s">
        <v>72</v>
      </c>
      <c r="D7" s="10" t="s">
        <v>92</v>
      </c>
      <c r="E7" s="10" t="s">
        <v>74</v>
      </c>
      <c r="F7" s="11" t="s">
        <v>75</v>
      </c>
      <c r="G7" s="12" t="s">
        <v>76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93</v>
      </c>
      <c r="B8" s="10" t="s">
        <v>94</v>
      </c>
      <c r="C8" s="10" t="s">
        <v>72</v>
      </c>
      <c r="D8" s="10" t="s">
        <v>95</v>
      </c>
      <c r="E8" s="10" t="s">
        <v>80</v>
      </c>
      <c r="F8" s="11" t="s">
        <v>75</v>
      </c>
      <c r="G8" s="12" t="s">
        <v>76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96</v>
      </c>
      <c r="B9" s="10" t="s">
        <v>97</v>
      </c>
      <c r="C9" s="10" t="s">
        <v>72</v>
      </c>
      <c r="D9" s="10" t="s">
        <v>98</v>
      </c>
      <c r="E9" s="10" t="s">
        <v>74</v>
      </c>
      <c r="F9" s="11" t="s">
        <v>75</v>
      </c>
      <c r="G9" s="12" t="s">
        <v>76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72</v>
      </c>
      <c r="D10" s="10" t="s">
        <v>101</v>
      </c>
      <c r="E10" s="10" t="s">
        <v>74</v>
      </c>
      <c r="F10" s="11" t="s">
        <v>75</v>
      </c>
      <c r="G10" s="12" t="s">
        <v>76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102</v>
      </c>
      <c r="B11" s="10" t="s">
        <v>103</v>
      </c>
      <c r="C11" s="10" t="s">
        <v>72</v>
      </c>
      <c r="D11" s="10" t="s">
        <v>104</v>
      </c>
      <c r="E11" s="10" t="s">
        <v>80</v>
      </c>
      <c r="F11" s="11" t="s">
        <v>75</v>
      </c>
      <c r="G11" s="12" t="s">
        <v>76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105</v>
      </c>
      <c r="B12" s="10" t="s">
        <v>106</v>
      </c>
      <c r="C12" s="10" t="s">
        <v>72</v>
      </c>
      <c r="D12" s="10" t="s">
        <v>107</v>
      </c>
      <c r="E12" s="10" t="s">
        <v>80</v>
      </c>
      <c r="F12" s="11" t="s">
        <v>75</v>
      </c>
      <c r="G12" s="12" t="s">
        <v>76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108</v>
      </c>
      <c r="B13" s="10" t="s">
        <v>109</v>
      </c>
      <c r="C13" s="10" t="s">
        <v>72</v>
      </c>
      <c r="D13" s="10" t="s">
        <v>110</v>
      </c>
      <c r="E13" s="10" t="s">
        <v>80</v>
      </c>
      <c r="F13" s="19" t="s">
        <v>111</v>
      </c>
      <c r="G13" s="12" t="s">
        <v>112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113</v>
      </c>
      <c r="B14" s="10" t="s">
        <v>114</v>
      </c>
      <c r="C14" s="10" t="s">
        <v>85</v>
      </c>
      <c r="D14" s="10" t="s">
        <v>115</v>
      </c>
      <c r="E14" s="10" t="s">
        <v>74</v>
      </c>
      <c r="F14" s="19" t="s">
        <v>111</v>
      </c>
      <c r="G14" s="12" t="s">
        <v>116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72</v>
      </c>
      <c r="D15" s="10" t="s">
        <v>107</v>
      </c>
      <c r="E15" s="10" t="s">
        <v>74</v>
      </c>
      <c r="F15" s="19" t="s">
        <v>111</v>
      </c>
      <c r="G15" s="12" t="s">
        <v>119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120</v>
      </c>
      <c r="B16" s="10" t="s">
        <v>121</v>
      </c>
      <c r="C16" s="10" t="s">
        <v>72</v>
      </c>
      <c r="D16" s="10" t="s">
        <v>110</v>
      </c>
      <c r="E16" s="10" t="s">
        <v>80</v>
      </c>
      <c r="F16" s="19" t="s">
        <v>111</v>
      </c>
      <c r="G16" s="12" t="s">
        <v>122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123</v>
      </c>
      <c r="B17" s="10" t="s">
        <v>124</v>
      </c>
      <c r="C17" s="10" t="s">
        <v>72</v>
      </c>
      <c r="D17" s="10" t="s">
        <v>110</v>
      </c>
      <c r="E17" s="10" t="s">
        <v>80</v>
      </c>
      <c r="F17" s="19" t="s">
        <v>111</v>
      </c>
      <c r="G17" s="12" t="s">
        <v>125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72</v>
      </c>
      <c r="D18" s="10" t="s">
        <v>128</v>
      </c>
      <c r="E18" s="10" t="s">
        <v>80</v>
      </c>
      <c r="F18" s="19" t="s">
        <v>111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80</v>
      </c>
      <c r="F19" s="19" t="s">
        <v>111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72</v>
      </c>
      <c r="D20" s="10" t="s">
        <v>137</v>
      </c>
      <c r="E20" s="10" t="s">
        <v>80</v>
      </c>
      <c r="F20" s="19" t="s">
        <v>111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72</v>
      </c>
      <c r="D21" s="10" t="s">
        <v>110</v>
      </c>
      <c r="E21" s="10" t="s">
        <v>74</v>
      </c>
      <c r="F21" s="19" t="s">
        <v>111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80</v>
      </c>
      <c r="F22" s="19" t="s">
        <v>111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72</v>
      </c>
      <c r="D23" s="10" t="s">
        <v>104</v>
      </c>
      <c r="E23" s="10" t="s">
        <v>80</v>
      </c>
      <c r="F23" s="19" t="s">
        <v>111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72</v>
      </c>
      <c r="D24" s="10" t="s">
        <v>110</v>
      </c>
      <c r="E24" s="10" t="s">
        <v>80</v>
      </c>
      <c r="F24" s="19" t="s">
        <v>111</v>
      </c>
      <c r="G24" s="12" t="s">
        <v>125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79</v>
      </c>
      <c r="D25" s="10" t="s">
        <v>150</v>
      </c>
      <c r="E25" s="10" t="s">
        <v>80</v>
      </c>
      <c r="F25" s="19" t="s">
        <v>111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79</v>
      </c>
      <c r="D26" s="10" t="s">
        <v>153</v>
      </c>
      <c r="E26" s="10" t="s">
        <v>80</v>
      </c>
      <c r="F26" s="19" t="s">
        <v>111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80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80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92</v>
      </c>
      <c r="E29" s="10" t="s">
        <v>74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79</v>
      </c>
      <c r="D30" s="10" t="s">
        <v>165</v>
      </c>
      <c r="E30" s="10" t="s">
        <v>80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79</v>
      </c>
      <c r="D31" s="10" t="s">
        <v>133</v>
      </c>
      <c r="E31" s="10" t="s">
        <v>80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73</v>
      </c>
      <c r="E32" s="10" t="s">
        <v>80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80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79</v>
      </c>
      <c r="D34" s="10" t="s">
        <v>143</v>
      </c>
      <c r="E34" s="10" t="s">
        <v>80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80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85</v>
      </c>
      <c r="D36" s="10" t="s">
        <v>179</v>
      </c>
      <c r="E36" s="10" t="s">
        <v>74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79</v>
      </c>
      <c r="D37" s="10" t="s">
        <v>92</v>
      </c>
      <c r="E37" s="10" t="s">
        <v>74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80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72</v>
      </c>
      <c r="D39" s="10" t="s">
        <v>165</v>
      </c>
      <c r="E39" s="10" t="s">
        <v>74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79</v>
      </c>
      <c r="D40" s="10" t="s">
        <v>188</v>
      </c>
      <c r="E40" s="10" t="s">
        <v>80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79</v>
      </c>
      <c r="D41" s="10" t="s">
        <v>133</v>
      </c>
      <c r="E41" s="10" t="s">
        <v>80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72</v>
      </c>
      <c r="D42" s="10" t="s">
        <v>133</v>
      </c>
      <c r="E42" s="10" t="s">
        <v>80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72</v>
      </c>
      <c r="D43" s="10" t="s">
        <v>176</v>
      </c>
      <c r="E43" s="10" t="s">
        <v>74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72</v>
      </c>
      <c r="D44" s="10" t="s">
        <v>197</v>
      </c>
      <c r="E44" s="10" t="s">
        <v>74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80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72</v>
      </c>
      <c r="D46" s="10" t="s">
        <v>107</v>
      </c>
      <c r="E46" s="10" t="s">
        <v>80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79</v>
      </c>
      <c r="D47" s="10" t="s">
        <v>133</v>
      </c>
      <c r="E47" s="10" t="s">
        <v>80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85</v>
      </c>
      <c r="D48" s="10" t="s">
        <v>206</v>
      </c>
      <c r="E48" s="10" t="s">
        <v>74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79</v>
      </c>
      <c r="D49" s="10" t="s">
        <v>209</v>
      </c>
      <c r="E49" s="10" t="s">
        <v>80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79</v>
      </c>
      <c r="D50" s="10" t="s">
        <v>212</v>
      </c>
      <c r="E50" s="10" t="s">
        <v>80</v>
      </c>
      <c r="F50" s="20" t="s">
        <v>157</v>
      </c>
      <c r="G50" s="12" t="s">
        <v>158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72</v>
      </c>
      <c r="D51" s="10" t="s">
        <v>215</v>
      </c>
      <c r="E51" s="10" t="s">
        <v>74</v>
      </c>
      <c r="F51" s="20" t="s">
        <v>157</v>
      </c>
      <c r="G51" s="12" t="s">
        <v>158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216</v>
      </c>
      <c r="B52" s="10" t="s">
        <v>217</v>
      </c>
      <c r="C52" s="10" t="s">
        <v>170</v>
      </c>
      <c r="D52" s="10" t="s">
        <v>215</v>
      </c>
      <c r="E52" s="10" t="s">
        <v>80</v>
      </c>
      <c r="F52" s="20" t="s">
        <v>157</v>
      </c>
      <c r="G52" s="12" t="s">
        <v>158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218</v>
      </c>
      <c r="B53" s="10" t="s">
        <v>219</v>
      </c>
      <c r="C53" s="10" t="s">
        <v>79</v>
      </c>
      <c r="D53" s="10" t="s">
        <v>101</v>
      </c>
      <c r="E53" s="10" t="s">
        <v>80</v>
      </c>
      <c r="F53" s="20" t="s">
        <v>157</v>
      </c>
      <c r="G53" s="12" t="s">
        <v>158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220</v>
      </c>
      <c r="B54" s="10" t="s">
        <v>221</v>
      </c>
      <c r="C54" s="10" t="s">
        <v>156</v>
      </c>
      <c r="D54" s="10" t="s">
        <v>222</v>
      </c>
      <c r="E54" s="10" t="s">
        <v>80</v>
      </c>
      <c r="F54" s="20" t="s">
        <v>157</v>
      </c>
      <c r="G54" s="12" t="s">
        <v>158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223</v>
      </c>
      <c r="B55" s="10" t="s">
        <v>224</v>
      </c>
      <c r="C55" s="10" t="s">
        <v>72</v>
      </c>
      <c r="D55" s="10" t="s">
        <v>153</v>
      </c>
      <c r="E55" s="10" t="s">
        <v>74</v>
      </c>
      <c r="F55" s="21" t="s">
        <v>225</v>
      </c>
      <c r="G55" s="12" t="s">
        <v>226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227</v>
      </c>
      <c r="B56" s="10" t="s">
        <v>228</v>
      </c>
      <c r="C56" s="10" t="s">
        <v>85</v>
      </c>
      <c r="D56" s="10" t="s">
        <v>229</v>
      </c>
      <c r="E56" s="10" t="s">
        <v>74</v>
      </c>
      <c r="F56" s="21" t="s">
        <v>225</v>
      </c>
      <c r="G56" s="12" t="s">
        <v>226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230</v>
      </c>
      <c r="B57" s="10" t="s">
        <v>231</v>
      </c>
      <c r="C57" s="10" t="s">
        <v>85</v>
      </c>
      <c r="D57" s="10" t="s">
        <v>232</v>
      </c>
      <c r="E57" s="10" t="s">
        <v>74</v>
      </c>
      <c r="F57" s="21" t="s">
        <v>225</v>
      </c>
      <c r="G57" s="12" t="s">
        <v>226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233</v>
      </c>
      <c r="B58" s="10" t="s">
        <v>234</v>
      </c>
      <c r="C58" s="10" t="s">
        <v>132</v>
      </c>
      <c r="D58" s="10" t="s">
        <v>235</v>
      </c>
      <c r="E58" s="10" t="s">
        <v>80</v>
      </c>
      <c r="F58" s="21" t="s">
        <v>225</v>
      </c>
      <c r="G58" s="12" t="s">
        <v>226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236</v>
      </c>
      <c r="B59" s="10" t="s">
        <v>236</v>
      </c>
      <c r="C59" s="10" t="s">
        <v>79</v>
      </c>
      <c r="D59" s="10" t="s">
        <v>101</v>
      </c>
      <c r="E59" s="10" t="s">
        <v>80</v>
      </c>
      <c r="F59" s="21" t="s">
        <v>225</v>
      </c>
      <c r="G59" s="12" t="s">
        <v>226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79</v>
      </c>
      <c r="D60" s="10" t="s">
        <v>143</v>
      </c>
      <c r="E60" s="10" t="s">
        <v>80</v>
      </c>
      <c r="F60" s="21" t="s">
        <v>225</v>
      </c>
      <c r="G60" s="12" t="s">
        <v>226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170</v>
      </c>
      <c r="D61" s="10" t="s">
        <v>235</v>
      </c>
      <c r="E61" s="10" t="s">
        <v>80</v>
      </c>
      <c r="F61" s="21" t="s">
        <v>225</v>
      </c>
      <c r="G61" s="12" t="s">
        <v>226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241</v>
      </c>
      <c r="B62" s="10" t="s">
        <v>242</v>
      </c>
      <c r="C62" s="10" t="s">
        <v>156</v>
      </c>
      <c r="D62" s="10" t="s">
        <v>243</v>
      </c>
      <c r="E62" s="10" t="s">
        <v>80</v>
      </c>
      <c r="F62" s="21" t="s">
        <v>225</v>
      </c>
      <c r="G62" s="12" t="s">
        <v>226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72</v>
      </c>
      <c r="D63" s="10" t="s">
        <v>104</v>
      </c>
      <c r="E63" s="10" t="s">
        <v>74</v>
      </c>
      <c r="F63" s="21" t="s">
        <v>225</v>
      </c>
      <c r="G63" s="12" t="s">
        <v>226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246</v>
      </c>
      <c r="B64" s="10" t="s">
        <v>247</v>
      </c>
      <c r="C64" s="10" t="s">
        <v>156</v>
      </c>
      <c r="D64" s="10" t="s">
        <v>248</v>
      </c>
      <c r="E64" s="10" t="s">
        <v>80</v>
      </c>
      <c r="F64" s="21" t="s">
        <v>225</v>
      </c>
      <c r="G64" s="12" t="s">
        <v>226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80</v>
      </c>
      <c r="F65" s="21" t="s">
        <v>225</v>
      </c>
      <c r="G65" s="12" t="s">
        <v>226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243</v>
      </c>
      <c r="E66" s="10" t="s">
        <v>80</v>
      </c>
      <c r="F66" s="21" t="s">
        <v>225</v>
      </c>
      <c r="G66" s="12" t="s">
        <v>226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72</v>
      </c>
      <c r="D67" s="10" t="s">
        <v>255</v>
      </c>
      <c r="E67" s="10" t="s">
        <v>74</v>
      </c>
      <c r="F67" s="21" t="s">
        <v>225</v>
      </c>
      <c r="G67" s="12" t="s">
        <v>226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92</v>
      </c>
      <c r="E68" s="10" t="s">
        <v>74</v>
      </c>
      <c r="F68" s="21" t="s">
        <v>225</v>
      </c>
      <c r="G68" s="12" t="s">
        <v>226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74</v>
      </c>
      <c r="F69" s="21" t="s">
        <v>225</v>
      </c>
      <c r="G69" s="12" t="s">
        <v>226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72</v>
      </c>
      <c r="D70" s="10" t="s">
        <v>110</v>
      </c>
      <c r="E70" s="10" t="s">
        <v>80</v>
      </c>
      <c r="F70" s="21" t="s">
        <v>225</v>
      </c>
      <c r="G70" s="12" t="s">
        <v>226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80</v>
      </c>
      <c r="F71" s="21" t="s">
        <v>225</v>
      </c>
      <c r="G71" s="12" t="s">
        <v>226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80</v>
      </c>
      <c r="F72" s="21" t="s">
        <v>225</v>
      </c>
      <c r="G72" s="12" t="s">
        <v>226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80</v>
      </c>
      <c r="F73" s="21" t="s">
        <v>225</v>
      </c>
      <c r="G73" s="12" t="s">
        <v>226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80</v>
      </c>
      <c r="F74" s="21" t="s">
        <v>225</v>
      </c>
      <c r="G74" s="12" t="s">
        <v>226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72</v>
      </c>
      <c r="D75" s="10" t="s">
        <v>143</v>
      </c>
      <c r="E75" s="10" t="s">
        <v>74</v>
      </c>
      <c r="F75" s="21" t="s">
        <v>225</v>
      </c>
      <c r="G75" s="12" t="s">
        <v>226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80</v>
      </c>
      <c r="F76" s="21" t="s">
        <v>225</v>
      </c>
      <c r="G76" s="12" t="s">
        <v>226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80</v>
      </c>
      <c r="F77" s="21" t="s">
        <v>225</v>
      </c>
      <c r="G77" s="12" t="s">
        <v>226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80</v>
      </c>
      <c r="F78" s="21" t="s">
        <v>225</v>
      </c>
      <c r="G78" s="12" t="s">
        <v>226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89</v>
      </c>
      <c r="E79" s="10" t="s">
        <v>80</v>
      </c>
      <c r="F79" s="21" t="s">
        <v>225</v>
      </c>
      <c r="G79" s="12" t="s">
        <v>226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80</v>
      </c>
      <c r="F80" s="21" t="s">
        <v>225</v>
      </c>
      <c r="G80" s="12" t="s">
        <v>226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80</v>
      </c>
      <c r="F81" s="21" t="s">
        <v>225</v>
      </c>
      <c r="G81" s="12" t="s">
        <v>226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80</v>
      </c>
      <c r="F82" s="21" t="s">
        <v>225</v>
      </c>
      <c r="G82" s="12" t="s">
        <v>226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80</v>
      </c>
      <c r="F83" s="21" t="s">
        <v>225</v>
      </c>
      <c r="G83" s="12" t="s">
        <v>226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80</v>
      </c>
      <c r="F84" s="21" t="s">
        <v>225</v>
      </c>
      <c r="G84" s="12" t="s">
        <v>226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75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75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75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75</v>
      </c>
      <c r="M5" s="29" t="s">
        <v>316</v>
      </c>
    </row>
    <row r="6" customFormat="false" ht="28.3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75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225</v>
      </c>
      <c r="M7" s="29" t="s">
        <v>318</v>
      </c>
    </row>
    <row r="8" customFormat="false" ht="15" hidden="false" customHeight="false" outlineLevel="0" collapsed="false">
      <c r="A8" s="4" t="s">
        <v>246</v>
      </c>
      <c r="B8" s="4" t="s">
        <v>247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225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225</v>
      </c>
      <c r="M9" s="29" t="s">
        <v>320</v>
      </c>
    </row>
    <row r="10" customFormat="false" ht="15" hidden="false" customHeight="false" outlineLevel="0" collapsed="false">
      <c r="A10" s="4" t="s">
        <v>241</v>
      </c>
      <c r="B10" s="4" t="s">
        <v>242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225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111</v>
      </c>
      <c r="M11" s="29" t="s">
        <v>322</v>
      </c>
    </row>
    <row r="12" customFormat="false" ht="15" hidden="false" customHeight="false" outlineLevel="0" collapsed="false">
      <c r="A12" s="4" t="s">
        <v>220</v>
      </c>
      <c r="B12" s="4" t="s">
        <v>221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111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111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111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111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81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230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102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93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7" customFormat="false" ht="15" hidden="false" customHeight="false" outlineLevel="0" collapsed="false">
      <c r="A7" s="4" t="s">
        <v>105</v>
      </c>
      <c r="B7" s="4" t="s">
        <v>367</v>
      </c>
      <c r="C7" s="4" t="s">
        <v>375</v>
      </c>
      <c r="D7" s="4" t="s">
        <v>369</v>
      </c>
      <c r="E7" s="30" t="n">
        <v>70</v>
      </c>
      <c r="F7" s="31" t="n">
        <v>229.33</v>
      </c>
      <c r="G7" s="32" t="n">
        <v>7.825</v>
      </c>
      <c r="H7" s="23" t="n">
        <f aca="false">G7*100</f>
        <v>782.5</v>
      </c>
      <c r="I7" s="31" t="n">
        <v>237.825</v>
      </c>
      <c r="J7" s="33" t="n">
        <f aca="false">I7/F7-1</f>
        <v>0.0370426895739762</v>
      </c>
      <c r="K7" s="32" t="n">
        <v>12.175</v>
      </c>
      <c r="L7" s="34" t="n">
        <f aca="false">IF(K7="","open",K7/G7)</f>
        <v>1.55591054313099</v>
      </c>
      <c r="M7" s="7" t="n">
        <v>0.394779768673195</v>
      </c>
      <c r="N7" s="7" t="n">
        <v>0.340953465060969</v>
      </c>
      <c r="O7" s="35" t="n">
        <f aca="false">INT(Policy!$B$2*Policy!$B$11/H7)</f>
        <v>12</v>
      </c>
      <c r="P7" s="23" t="n">
        <f aca="false">O7*H7</f>
        <v>9390</v>
      </c>
      <c r="Q7" s="36" t="n">
        <f aca="false">G7*(1-0.5)</f>
        <v>3.9125</v>
      </c>
    </row>
    <row r="8" customFormat="false" ht="15" hidden="false" customHeight="false" outlineLevel="0" collapsed="false">
      <c r="A8" s="4" t="s">
        <v>96</v>
      </c>
      <c r="B8" s="4" t="s">
        <v>367</v>
      </c>
      <c r="C8" s="4" t="s">
        <v>376</v>
      </c>
      <c r="D8" s="4" t="s">
        <v>369</v>
      </c>
      <c r="E8" s="30" t="n">
        <v>70</v>
      </c>
      <c r="F8" s="31" t="n">
        <v>751.38</v>
      </c>
      <c r="G8" s="32" t="n">
        <v>25.26</v>
      </c>
      <c r="H8" s="23" t="n">
        <f aca="false">G8*100</f>
        <v>2526</v>
      </c>
      <c r="I8" s="31" t="n">
        <v>776.26</v>
      </c>
      <c r="J8" s="33" t="n">
        <f aca="false">I8/F8-1</f>
        <v>0.0331124065053634</v>
      </c>
      <c r="K8" s="32" t="n">
        <v>48.74</v>
      </c>
      <c r="L8" s="34" t="n">
        <f aca="false">IF(K8="","open",K8/G8)</f>
        <v>1.92953285827395</v>
      </c>
      <c r="M8" s="7" t="n">
        <v>0.368962735908992</v>
      </c>
      <c r="N8" s="7" t="n">
        <v>0.194792627653838</v>
      </c>
      <c r="O8" s="35" t="n">
        <f aca="false">INT(Policy!$B$2*Policy!$B$11/H8)</f>
        <v>3</v>
      </c>
      <c r="P8" s="23" t="n">
        <f aca="false">O8*H8</f>
        <v>7578</v>
      </c>
      <c r="Q8" s="36" t="n">
        <f aca="false">G8*(1-0.5)</f>
        <v>12.63</v>
      </c>
    </row>
    <row r="9" customFormat="false" ht="15" hidden="false" customHeight="false" outlineLevel="0" collapsed="false">
      <c r="A9" s="4" t="s">
        <v>90</v>
      </c>
      <c r="B9" s="4" t="s">
        <v>367</v>
      </c>
      <c r="C9" s="4" t="s">
        <v>377</v>
      </c>
      <c r="D9" s="4" t="s">
        <v>369</v>
      </c>
      <c r="E9" s="30" t="n">
        <v>70</v>
      </c>
      <c r="F9" s="31" t="n">
        <v>778.57</v>
      </c>
      <c r="G9" s="32" t="n">
        <v>20.395</v>
      </c>
      <c r="H9" s="23" t="n">
        <f aca="false">G9*100</f>
        <v>2039.5</v>
      </c>
      <c r="I9" s="31" t="n">
        <v>799.395</v>
      </c>
      <c r="J9" s="33" t="n">
        <f aca="false">I9/F9-1</f>
        <v>0.0267477555004687</v>
      </c>
      <c r="K9" s="32" t="n">
        <v>55.605</v>
      </c>
      <c r="L9" s="34" t="n">
        <f aca="false">IF(K9="","open",K9/G9)</f>
        <v>2.72640353027703</v>
      </c>
      <c r="M9" s="7" t="n">
        <v>0.363472788907844</v>
      </c>
      <c r="N9" s="7" t="n">
        <v>0.133650255019125</v>
      </c>
      <c r="O9" s="35" t="n">
        <f aca="false">INT(Policy!$B$2*Policy!$B$11/H9)</f>
        <v>4</v>
      </c>
      <c r="P9" s="23" t="n">
        <f aca="false">O9*H9</f>
        <v>8158</v>
      </c>
      <c r="Q9" s="36" t="n">
        <f aca="false">G9*(1-0.5)</f>
        <v>10.1975</v>
      </c>
    </row>
    <row r="10" customFormat="false" ht="15" hidden="false" customHeight="false" outlineLevel="0" collapsed="false">
      <c r="A10" s="4" t="s">
        <v>261</v>
      </c>
      <c r="B10" s="4" t="s">
        <v>378</v>
      </c>
      <c r="C10" s="4" t="s">
        <v>379</v>
      </c>
      <c r="D10" s="4" t="s">
        <v>369</v>
      </c>
      <c r="E10" s="30" t="n">
        <v>70</v>
      </c>
      <c r="F10" s="31" t="n">
        <v>141.55</v>
      </c>
      <c r="G10" s="32" t="n">
        <v>10.15</v>
      </c>
      <c r="H10" s="23" t="n">
        <f aca="false">G10*100</f>
        <v>1015</v>
      </c>
      <c r="I10" s="31" t="n">
        <v>124.85</v>
      </c>
      <c r="J10" s="33" t="n">
        <f aca="false">I10/F10-1</f>
        <v>-0.117979512539739</v>
      </c>
      <c r="K10" s="32"/>
      <c r="L10" s="34" t="str">
        <f aca="false">IF(K10="","open",K10/G10)</f>
        <v>open</v>
      </c>
      <c r="M10" s="7" t="n">
        <v>0.339881226108832</v>
      </c>
      <c r="N10" s="7" t="n">
        <v>0.566607287616487</v>
      </c>
      <c r="O10" s="35" t="n">
        <f aca="false">INT(Policy!$B$2*Policy!$B$11/H10)</f>
        <v>9</v>
      </c>
      <c r="P10" s="23" t="n">
        <f aca="false">O10*H10</f>
        <v>9135</v>
      </c>
      <c r="Q10" s="36" t="n">
        <f aca="false">G10*(1-0.5)</f>
        <v>5.075</v>
      </c>
    </row>
    <row r="11" customFormat="false" ht="15" hidden="false" customHeight="false" outlineLevel="0" collapsed="false">
      <c r="A11" s="4" t="s">
        <v>81</v>
      </c>
      <c r="B11" s="4" t="s">
        <v>380</v>
      </c>
      <c r="C11" s="4" t="s">
        <v>381</v>
      </c>
      <c r="D11" s="4" t="s">
        <v>369</v>
      </c>
      <c r="E11" s="30" t="n">
        <v>70</v>
      </c>
      <c r="F11" s="31" t="n">
        <v>168.79</v>
      </c>
      <c r="G11" s="32" t="n">
        <v>5.65</v>
      </c>
      <c r="H11" s="23" t="n">
        <f aca="false">G11*100</f>
        <v>565</v>
      </c>
      <c r="I11" s="31" t="n">
        <v>180.65</v>
      </c>
      <c r="J11" s="33" t="n">
        <f aca="false">I11/F11-1</f>
        <v>0.0702648261152912</v>
      </c>
      <c r="K11" s="32"/>
      <c r="L11" s="34" t="str">
        <f aca="false">IF(K11="","open",K11/G11)</f>
        <v>open</v>
      </c>
      <c r="M11" s="7" t="n">
        <v>0.289317614247436</v>
      </c>
      <c r="N11" s="7" t="n">
        <v>0.278166458712079</v>
      </c>
      <c r="O11" s="35" t="n">
        <f aca="false">INT(Policy!$B$2*Policy!$B$11/H11)</f>
        <v>17</v>
      </c>
      <c r="P11" s="23" t="n">
        <f aca="false">O11*H11</f>
        <v>9605</v>
      </c>
      <c r="Q11" s="36" t="n">
        <f aca="false">G11*(1-0.5)</f>
        <v>2.825</v>
      </c>
    </row>
    <row r="12" customFormat="false" ht="15" hidden="false" customHeight="false" outlineLevel="0" collapsed="false">
      <c r="A12" s="4" t="s">
        <v>105</v>
      </c>
      <c r="B12" s="4" t="s">
        <v>380</v>
      </c>
      <c r="C12" s="4" t="s">
        <v>382</v>
      </c>
      <c r="D12" s="4" t="s">
        <v>369</v>
      </c>
      <c r="E12" s="30" t="n">
        <v>70</v>
      </c>
      <c r="F12" s="31" t="n">
        <v>229.33</v>
      </c>
      <c r="G12" s="32" t="n">
        <v>9.725</v>
      </c>
      <c r="H12" s="23" t="n">
        <f aca="false">G12*100</f>
        <v>972.5</v>
      </c>
      <c r="I12" s="31" t="n">
        <v>249.725</v>
      </c>
      <c r="J12" s="33" t="n">
        <f aca="false">I12/F12-1</f>
        <v>0.0889329786770157</v>
      </c>
      <c r="K12" s="32"/>
      <c r="L12" s="34" t="str">
        <f aca="false">IF(K12="","open",K12/G12)</f>
        <v>open</v>
      </c>
      <c r="M12" s="7" t="n">
        <v>0.273762735822154</v>
      </c>
      <c r="N12" s="7" t="n">
        <v>0.335245429054431</v>
      </c>
      <c r="O12" s="35" t="n">
        <f aca="false">INT(Policy!$B$2*Policy!$B$11/H12)</f>
        <v>10</v>
      </c>
      <c r="P12" s="23" t="n">
        <f aca="false">O12*H12</f>
        <v>9725</v>
      </c>
      <c r="Q12" s="36" t="n">
        <f aca="false">G12*(1-0.5)</f>
        <v>4.8625</v>
      </c>
    </row>
    <row r="13" customFormat="false" ht="15" hidden="false" customHeight="false" outlineLevel="0" collapsed="false">
      <c r="A13" s="4" t="s">
        <v>102</v>
      </c>
      <c r="B13" s="4" t="s">
        <v>380</v>
      </c>
      <c r="C13" s="4" t="s">
        <v>383</v>
      </c>
      <c r="D13" s="4" t="s">
        <v>369</v>
      </c>
      <c r="E13" s="30" t="n">
        <v>70</v>
      </c>
      <c r="F13" s="31" t="n">
        <v>351.6</v>
      </c>
      <c r="G13" s="32" t="n">
        <v>13.675</v>
      </c>
      <c r="H13" s="23" t="n">
        <f aca="false">G13*100</f>
        <v>1367.5</v>
      </c>
      <c r="I13" s="31" t="n">
        <v>383.675</v>
      </c>
      <c r="J13" s="33" t="n">
        <f aca="false">I13/F13-1</f>
        <v>0.0912258248009101</v>
      </c>
      <c r="K13" s="32"/>
      <c r="L13" s="34" t="str">
        <f aca="false">IF(K13="","open",K13/G13)</f>
        <v>open</v>
      </c>
      <c r="M13" s="7" t="n">
        <v>0.263871389642364</v>
      </c>
      <c r="N13" s="7" t="n">
        <v>0.324467860851498</v>
      </c>
      <c r="O13" s="35" t="n">
        <f aca="false">INT(Policy!$B$2*Policy!$B$11/H13)</f>
        <v>7</v>
      </c>
      <c r="P13" s="23" t="n">
        <f aca="false">O13*H13</f>
        <v>9572.5</v>
      </c>
      <c r="Q13" s="36" t="n">
        <f aca="false">G13*(1-0.5)</f>
        <v>6.8375</v>
      </c>
    </row>
    <row r="14" customFormat="false" ht="15" hidden="false" customHeight="false" outlineLevel="0" collapsed="false">
      <c r="A14" s="4" t="s">
        <v>230</v>
      </c>
      <c r="B14" s="4" t="s">
        <v>378</v>
      </c>
      <c r="C14" s="4" t="s">
        <v>384</v>
      </c>
      <c r="D14" s="4" t="s">
        <v>369</v>
      </c>
      <c r="E14" s="30" t="n">
        <v>70</v>
      </c>
      <c r="F14" s="31" t="n">
        <v>384.5</v>
      </c>
      <c r="G14" s="32" t="n">
        <v>5.525</v>
      </c>
      <c r="H14" s="23" t="n">
        <f aca="false">G14*100</f>
        <v>552.5</v>
      </c>
      <c r="I14" s="31" t="n">
        <v>359.475</v>
      </c>
      <c r="J14" s="33" t="n">
        <f aca="false">I14/F14-1</f>
        <v>-0.0650845253576072</v>
      </c>
      <c r="K14" s="32"/>
      <c r="L14" s="34" t="str">
        <f aca="false">IF(K14="","open",K14/G14)</f>
        <v>open</v>
      </c>
      <c r="M14" s="7" t="n">
        <v>0.22652457613958</v>
      </c>
      <c r="N14" s="7" t="n">
        <v>0.214702125013975</v>
      </c>
      <c r="O14" s="35" t="n">
        <f aca="false">INT(Policy!$B$2*Policy!$B$11/H14)</f>
        <v>18</v>
      </c>
      <c r="P14" s="23" t="n">
        <f aca="false">O14*H14</f>
        <v>9945</v>
      </c>
      <c r="Q14" s="36" t="n">
        <f aca="false">G14*(1-0.5)</f>
        <v>2.7625</v>
      </c>
    </row>
    <row r="15" customFormat="false" ht="15" hidden="false" customHeight="false" outlineLevel="0" collapsed="false">
      <c r="A15" s="4" t="s">
        <v>93</v>
      </c>
      <c r="B15" s="4" t="s">
        <v>380</v>
      </c>
      <c r="C15" s="4" t="s">
        <v>385</v>
      </c>
      <c r="D15" s="4" t="s">
        <v>369</v>
      </c>
      <c r="E15" s="30" t="n">
        <v>70</v>
      </c>
      <c r="F15" s="31" t="n">
        <v>336.08</v>
      </c>
      <c r="G15" s="32" t="n">
        <v>7.75</v>
      </c>
      <c r="H15" s="23" t="n">
        <f aca="false">G15*100</f>
        <v>775</v>
      </c>
      <c r="I15" s="31" t="n">
        <v>362.75</v>
      </c>
      <c r="J15" s="33" t="n">
        <f aca="false">I15/F15-1</f>
        <v>0.0793561056891217</v>
      </c>
      <c r="K15" s="32"/>
      <c r="L15" s="34" t="str">
        <f aca="false">IF(K15="","open",K15/G15)</f>
        <v>open</v>
      </c>
      <c r="M15" s="7" t="n">
        <v>0.237030626911625</v>
      </c>
      <c r="N15" s="7" t="n">
        <v>0.236173523215233</v>
      </c>
      <c r="O15" s="35" t="n">
        <f aca="false">INT(Policy!$B$2*Policy!$B$11/H15)</f>
        <v>12</v>
      </c>
      <c r="P15" s="23" t="n">
        <f aca="false">O15*H15</f>
        <v>9300</v>
      </c>
      <c r="Q15" s="36" t="n">
        <f aca="false">G15*(1-0.5)</f>
        <v>3.875</v>
      </c>
    </row>
    <row r="16" customFormat="false" ht="15" hidden="false" customHeight="false" outlineLevel="0" collapsed="false">
      <c r="A16" s="4" t="s">
        <v>96</v>
      </c>
      <c r="B16" s="4" t="s">
        <v>380</v>
      </c>
      <c r="C16" s="4" t="s">
        <v>386</v>
      </c>
      <c r="D16" s="4" t="s">
        <v>369</v>
      </c>
      <c r="E16" s="30" t="n">
        <v>70</v>
      </c>
      <c r="F16" s="31" t="n">
        <v>751.38</v>
      </c>
      <c r="G16" s="32" t="n">
        <v>11.02</v>
      </c>
      <c r="H16" s="23" t="n">
        <f aca="false">G16*100</f>
        <v>1102</v>
      </c>
      <c r="I16" s="31" t="n">
        <v>800.02</v>
      </c>
      <c r="J16" s="33" t="n">
        <f aca="false">I16/F16-1</f>
        <v>0.0647342223641831</v>
      </c>
      <c r="K16" s="32"/>
      <c r="L16" s="34" t="str">
        <f aca="false">IF(K16="","open",K16/G16)</f>
        <v>open</v>
      </c>
      <c r="M16" s="7" t="n">
        <v>0.224316324820298</v>
      </c>
      <c r="N16" s="7" t="n">
        <v>0.174740994153321</v>
      </c>
      <c r="O16" s="35" t="n">
        <f aca="false">INT(Policy!$B$2*Policy!$B$11/H16)</f>
        <v>9</v>
      </c>
      <c r="P16" s="23" t="n">
        <f aca="false">O16*H16</f>
        <v>9918</v>
      </c>
      <c r="Q16" s="36" t="n">
        <f aca="false">G16*(1-0.5)</f>
        <v>5.51</v>
      </c>
    </row>
    <row r="17" customFormat="false" ht="15" hidden="false" customHeight="false" outlineLevel="0" collapsed="false">
      <c r="A17" s="4" t="s">
        <v>90</v>
      </c>
      <c r="B17" s="4" t="s">
        <v>380</v>
      </c>
      <c r="C17" s="4" t="s">
        <v>387</v>
      </c>
      <c r="D17" s="4" t="s">
        <v>369</v>
      </c>
      <c r="E17" s="30" t="n">
        <v>70</v>
      </c>
      <c r="F17" s="31" t="n">
        <v>778.57</v>
      </c>
      <c r="G17" s="32" t="n">
        <v>4.66</v>
      </c>
      <c r="H17" s="23" t="n">
        <f aca="false">G17*100</f>
        <v>466</v>
      </c>
      <c r="I17" s="31" t="n">
        <v>821.66</v>
      </c>
      <c r="J17" s="33" t="n">
        <f aca="false">I17/F17-1</f>
        <v>0.0553450556790012</v>
      </c>
      <c r="K17" s="32"/>
      <c r="L17" s="34" t="str">
        <f aca="false">IF(K17="","open",K17/G17)</f>
        <v>open</v>
      </c>
      <c r="M17" s="7" t="n">
        <v>0.171791316837144</v>
      </c>
      <c r="N17" s="7" t="n">
        <v>0.114405791873116</v>
      </c>
      <c r="O17" s="35" t="n">
        <f aca="false">INT(Policy!$B$2*Policy!$B$11/H17)</f>
        <v>21</v>
      </c>
      <c r="P17" s="23" t="n">
        <f aca="false">O17*H17</f>
        <v>9786</v>
      </c>
      <c r="Q17" s="36" t="n">
        <f aca="false">G17*(1-0.5)</f>
        <v>2.33</v>
      </c>
    </row>
    <row r="19" customFormat="false" ht="15" hidden="false" customHeight="false" outlineLevel="0" collapsed="false">
      <c r="A19" s="9" t="s">
        <v>388</v>
      </c>
      <c r="O19" s="9" t="s">
        <v>389</v>
      </c>
      <c r="P19" s="23" t="n">
        <f aca="false">SUM(P2:P17)</f>
        <v>149579</v>
      </c>
    </row>
    <row r="20" customFormat="false" ht="15" hidden="false" customHeight="false" outlineLevel="0" collapsed="false">
      <c r="O20" s="9" t="s">
        <v>390</v>
      </c>
      <c r="P20" s="23" t="n">
        <f aca="false">Policy!$B$2*Policy!$B$10</f>
        <v>50000</v>
      </c>
    </row>
    <row r="21" customFormat="false" ht="15" hidden="false" customHeight="false" outlineLevel="0" collapsed="false">
      <c r="O21" s="9" t="s">
        <v>391</v>
      </c>
      <c r="P21" s="0" t="str">
        <f aca="false">IF(P19&lt;=P20,"Yes","No: pick fewer trades")</f>
        <v>No: pick fewer trades</v>
      </c>
    </row>
    <row r="23" customFormat="false" ht="15" hidden="false" customHeight="false" outlineLevel="0" collapsed="false">
      <c r="A23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393</v>
      </c>
      <c r="B1" s="5" t="s">
        <v>51</v>
      </c>
      <c r="C1" s="5" t="s">
        <v>56</v>
      </c>
      <c r="D1" s="5" t="s">
        <v>394</v>
      </c>
      <c r="E1" s="5" t="s">
        <v>395</v>
      </c>
      <c r="F1" s="5" t="s">
        <v>62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400</v>
      </c>
    </row>
    <row r="2" customFormat="false" ht="15" hidden="false" customHeight="false" outlineLevel="0" collapsed="false">
      <c r="A2" s="37" t="s">
        <v>401</v>
      </c>
      <c r="B2" s="37" t="s">
        <v>70</v>
      </c>
      <c r="C2" s="37" t="s">
        <v>75</v>
      </c>
      <c r="D2" s="37" t="n">
        <v>65.08</v>
      </c>
      <c r="E2" s="38" t="n">
        <v>0.029</v>
      </c>
      <c r="F2" s="37" t="n">
        <v>55.59</v>
      </c>
      <c r="G2" s="37" t="s">
        <v>402</v>
      </c>
      <c r="H2" s="37" t="s">
        <v>403</v>
      </c>
      <c r="I2" s="37" t="s">
        <v>404</v>
      </c>
      <c r="J2" s="37" t="s">
        <v>405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2026-10-11T13:18:58Z</dcterms:created>
  <dc:creator>openpyxl</dc:creator>
  <dc:description/>
  <dc:language>en-US</dc:language>
  <cp:lastModifiedBy/>
  <dcterms:modified xsi:type="dcterms:W3CDTF">2026-10-11T13:18:58Z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