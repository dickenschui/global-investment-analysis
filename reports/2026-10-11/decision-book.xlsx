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Read Me" sheetId="1" state="visible" r:id="rId1"/>
    <sheet name="Policy" sheetId="2" state="visible" r:id="rId2"/>
    <sheet name="Decisions" sheetId="3" state="visible" r:id="rId3"/>
    <sheet name="SG Income" sheetId="4" state="visible" r:id="rId4"/>
    <sheet name="FX" sheetId="5" state="visible" r:id="rId5"/>
    <sheet name="Options" sheetId="6" state="visible" r:id="rId6"/>
    <sheet name="Decision Log" sheetId="7" state="visible" r:id="rId7"/>
  </sheets>
  <definedNames>
    <definedName name="_xlnm._FilterDatabase" localSheetId="2" hidden="1">'Decisions'!$A$1:$S$84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%;(0.0%);-"/>
    <numFmt numFmtId="166" formatCode="0.000"/>
    <numFmt numFmtId="167" formatCode="0.0000"/>
    <numFmt numFmtId="168" formatCode="0.0x"/>
  </numFmts>
  <fonts count="9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color rgb="005B6673"/>
      <sz val="10"/>
    </font>
    <font>
      <name val="Arial"/>
      <b val="1"/>
      <sz val="12"/>
    </font>
    <font>
      <name val="Arial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i val="1"/>
      <color rgb="005B6673"/>
      <sz val="10"/>
    </font>
  </fonts>
  <fills count="8">
    <fill>
      <patternFill/>
    </fill>
    <fill>
      <patternFill patternType="gray125"/>
    </fill>
    <fill>
      <patternFill patternType="solid">
        <fgColor rgb="001D5C8A"/>
      </patternFill>
    </fill>
    <fill>
      <patternFill patternType="solid">
        <fgColor rgb="00FFFF00"/>
      </patternFill>
    </fill>
    <fill>
      <patternFill patternType="solid">
        <fgColor rgb="00E3F1E8"/>
      </patternFill>
    </fill>
    <fill>
      <patternFill patternType="solid">
        <fgColor rgb="00FFFFFF"/>
      </patternFill>
    </fill>
    <fill>
      <patternFill patternType="solid">
        <fgColor rgb="00FFF4D6"/>
      </patternFill>
    </fill>
    <fill>
      <patternFill patternType="solid">
        <fgColor rgb="00F9E1DF"/>
      </patternFill>
    </fill>
  </fills>
  <borders count="2">
    <border>
      <left/>
      <right/>
      <top/>
      <bottom/>
      <diagonal/>
    </border>
    <border>
      <bottom style="thin">
        <color rgb="00D9DEE5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3" fontId="6" fillId="3" borderId="0" pivotButton="0" quotePrefix="0" xfId="0"/>
    <xf numFmtId="9" fontId="6" fillId="0" borderId="0" pivotButton="0" quotePrefix="0" xfId="0"/>
    <xf numFmtId="164" fontId="6" fillId="0" borderId="0" pivotButton="0" quotePrefix="0" xfId="0"/>
    <xf numFmtId="0" fontId="7" fillId="0" borderId="0" pivotButton="0" quotePrefix="0" xfId="0"/>
    <xf numFmtId="0" fontId="4" fillId="0" borderId="1" pivotButton="0" quotePrefix="0" xfId="0"/>
    <xf numFmtId="0" fontId="7" fillId="4" borderId="1" pivotButton="0" quotePrefix="0" xfId="0"/>
    <xf numFmtId="0" fontId="4" fillId="0" borderId="1" applyAlignment="1" pivotButton="0" quotePrefix="0" xfId="0">
      <alignment vertical="top" wrapText="1"/>
    </xf>
    <xf numFmtId="4" fontId="6" fillId="0" borderId="1" pivotButton="0" quotePrefix="0" xfId="0"/>
    <xf numFmtId="4" fontId="4" fillId="0" borderId="1" pivotButton="0" quotePrefix="0" xfId="0"/>
    <xf numFmtId="164" fontId="4" fillId="0" borderId="1" pivotButton="0" quotePrefix="0" xfId="0"/>
    <xf numFmtId="3" fontId="4" fillId="0" borderId="1" pivotButton="0" quotePrefix="0" xfId="0"/>
    <xf numFmtId="165" fontId="6" fillId="0" borderId="1" pivotButton="0" quotePrefix="0" xfId="0"/>
    <xf numFmtId="2" fontId="6" fillId="0" borderId="1" pivotButton="0" quotePrefix="0" xfId="0"/>
    <xf numFmtId="0" fontId="7" fillId="5" borderId="1" pivotButton="0" quotePrefix="0" xfId="0"/>
    <xf numFmtId="0" fontId="7" fillId="6" borderId="1" pivotButton="0" quotePrefix="0" xfId="0"/>
    <xf numFmtId="0" fontId="7" fillId="7" borderId="1" pivotButton="0" quotePrefix="0" xfId="0"/>
    <xf numFmtId="164" fontId="0" fillId="0" borderId="0" pivotButton="0" quotePrefix="0" xfId="0"/>
    <xf numFmtId="3" fontId="0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165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4" fontId="6" fillId="0" borderId="0" pivotButton="0" quotePrefix="0" xfId="0"/>
    <xf numFmtId="2" fontId="6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2" fontId="0" fillId="0" borderId="0" pivotButton="0" quotePrefix="0" xfId="0"/>
    <xf numFmtId="0" fontId="8" fillId="3" borderId="0" pivotButton="0" quotePrefix="0" xfId="0"/>
    <xf numFmtId="164" fontId="8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global-research</author>
  </authors>
  <commentList>
    <comment ref="B3" authorId="0" shapeId="0">
      <text>
        <t>Engine output for week to 2026-10-09: VIX-based.</t>
      </text>
    </comment>
  </commentList>
</comments>
</file>

<file path=xl/comments/comment2.xml><?xml version="1.0" encoding="utf-8"?>
<comments xmlns="http://schemas.openxmlformats.org/spreadsheetml/2006/main">
  <authors>
    <author>global-research</author>
  </authors>
  <commentList>
    <comment ref="A2" authorId="0" shapeId="0">
      <text>
        <t>EXAMPLE ROW showing the format. Replace with your own decisions.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Global Investment Decision Book</t>
        </is>
      </c>
    </row>
    <row r="2">
      <c r="A2" s="2" t="inlineStr">
        <is>
          <t>Week to 2026-10-09 · Source: Interactive Brokers weekly closes via global-investment-research</t>
        </is>
      </c>
    </row>
    <row r="3">
      <c r="A3" t="inlineStr"/>
    </row>
    <row r="4">
      <c r="A4" s="3" t="inlineStr">
        <is>
          <t>How to use</t>
        </is>
      </c>
    </row>
    <row r="5">
      <c r="A5" s="4" t="inlineStr">
        <is>
          <t>1. Enter your portfolio value on the Policy tab (yellow cell). Every Amount recalculates.</t>
        </is>
      </c>
    </row>
    <row r="6">
      <c r="A6" s="4" t="inlineStr">
        <is>
          <t>2. Policy tab: blue numbers are editable limits; all sizes and limit prices are formulas that use them.</t>
        </is>
      </c>
    </row>
    <row r="7">
      <c r="A7" s="4" t="inlineStr">
        <is>
          <t>3. Decisions tab: work the Accumulate rows first; pass the 5-question checklist before acting.</t>
        </is>
      </c>
    </row>
    <row r="8">
      <c r="A8" s="4" t="inlineStr">
        <is>
          <t>4. SG Income tab: limit-order prices for 6%, 7% and 8% trailing yield; change the band on Policy.</t>
        </is>
      </c>
    </row>
    <row r="9">
      <c r="A9" s="4" t="inlineStr">
        <is>
          <t>5. Decision Log tab: one row per decision (row 2 is a format example, delete it). Review monthly.</t>
        </is>
      </c>
    </row>
    <row r="10">
      <c r="A10" t="inlineStr"/>
    </row>
    <row r="11">
      <c r="A11" s="3" t="inlineStr">
        <is>
          <t>Colour legend</t>
        </is>
      </c>
    </row>
    <row r="12">
      <c r="A12" s="4" t="inlineStr">
        <is>
          <t>Blue text = input or engine output pasted as value · Black = formula · Green = link to another tab · Yellow fill = enter your own value</t>
        </is>
      </c>
    </row>
    <row r="13">
      <c r="A13" t="inlineStr"/>
    </row>
    <row r="14">
      <c r="A14" s="3" t="inlineStr">
        <is>
          <t>Limits</t>
        </is>
      </c>
    </row>
    <row r="15">
      <c r="A15" s="4" t="inlineStr">
        <is>
          <t>Mechanical price-trend, momentum and yield rules only: no valuation, fundamentals, costs or taxes. Not personalised advice.</t>
        </is>
      </c>
    </row>
    <row r="16">
      <c r="A16" s="4" t="inlineStr">
        <is>
          <t>Full rules: docs/HANDBOOK.md in the repository.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70" customWidth="1" min="3" max="3"/>
  </cols>
  <sheetData>
    <row r="1">
      <c r="A1" s="5" t="inlineStr">
        <is>
          <t>Setting</t>
        </is>
      </c>
      <c r="B1" s="5" t="inlineStr">
        <is>
          <t>Value</t>
        </is>
      </c>
      <c r="C1" s="5" t="inlineStr">
        <is>
          <t>Meaning</t>
        </is>
      </c>
    </row>
    <row r="2">
      <c r="A2" s="4" t="inlineStr">
        <is>
          <t>Portfolio value (your base currency)</t>
        </is>
      </c>
      <c r="B2" s="6" t="n">
        <v>1000000</v>
      </c>
      <c r="C2" s="2" t="inlineStr">
        <is>
          <t>Enter your own figure</t>
        </is>
      </c>
    </row>
    <row r="3">
      <c r="A3" s="4" t="inlineStr">
        <is>
          <t>Risk budget this week</t>
        </is>
      </c>
      <c r="B3" s="7" t="n">
        <v>1</v>
      </c>
      <c r="C3" s="2" t="inlineStr">
        <is>
          <t>Deploy 100% of the normal risk budget (Volatility calm).</t>
        </is>
      </c>
    </row>
    <row r="4">
      <c r="A4" s="4" t="inlineStr">
        <is>
          <t>Risk per position</t>
        </is>
      </c>
      <c r="B4" s="8" t="n">
        <v>0.005</v>
      </c>
      <c r="C4" s="2" t="inlineStr">
        <is>
          <t>Loss if the exit level is hit, as share of portfolio</t>
        </is>
      </c>
    </row>
    <row r="5">
      <c r="A5" s="4" t="inlineStr">
        <is>
          <t>Single stock cap</t>
        </is>
      </c>
      <c r="B5" s="8" t="n">
        <v>0.08</v>
      </c>
      <c r="C5" s="2" t="inlineStr">
        <is>
          <t>Maximum weight per company</t>
        </is>
      </c>
    </row>
    <row r="6">
      <c r="A6" s="4" t="inlineStr">
        <is>
          <t>ETF / fund cap</t>
        </is>
      </c>
      <c r="B6" s="8" t="n">
        <v>0.2</v>
      </c>
      <c r="C6" s="2" t="inlineStr">
        <is>
          <t>Maximum weight per broad fund</t>
        </is>
      </c>
    </row>
    <row r="7">
      <c r="A7" s="4" t="inlineStr">
        <is>
          <t>Exit buffer below 40-week average</t>
        </is>
      </c>
      <c r="B7" s="8" t="n">
        <v>0.03</v>
      </c>
      <c r="C7" s="2" t="inlineStr">
        <is>
          <t>Exit level = 40w average × (1 − buffer)</t>
        </is>
      </c>
    </row>
    <row r="8">
      <c r="A8" s="4" t="inlineStr">
        <is>
          <t>Income band low</t>
        </is>
      </c>
      <c r="B8" s="8" t="n">
        <v>0.06</v>
      </c>
      <c r="C8" s="2" t="inlineStr">
        <is>
          <t>Singapore income target: lower bound</t>
        </is>
      </c>
    </row>
    <row r="9">
      <c r="A9" s="4" t="inlineStr">
        <is>
          <t>Income band high</t>
        </is>
      </c>
      <c r="B9" s="8" t="n">
        <v>0.08</v>
      </c>
      <c r="C9" s="2" t="inlineStr">
        <is>
          <t>Singapore income target: upper bound</t>
        </is>
      </c>
    </row>
    <row r="10">
      <c r="A10" s="4" t="inlineStr">
        <is>
          <t>Options sleeve cap</t>
        </is>
      </c>
      <c r="B10" s="8" t="n">
        <v>0.05</v>
      </c>
      <c r="C10" s="2" t="inlineStr">
        <is>
          <t>Total option premium at risk, share of portfolio</t>
        </is>
      </c>
    </row>
    <row r="11">
      <c r="A11" s="4" t="inlineStr">
        <is>
          <t>Options per-trade risk</t>
        </is>
      </c>
      <c r="B11" s="8" t="n">
        <v>0.01</v>
      </c>
      <c r="C11" s="2" t="inlineStr">
        <is>
          <t>Premium at risk per option trade</t>
        </is>
      </c>
    </row>
    <row r="12">
      <c r="A12" s="4" t="inlineStr">
        <is>
          <t>Gap allowance at the exit</t>
        </is>
      </c>
      <c r="B12" s="8" t="n">
        <v>0.02</v>
      </c>
      <c r="C12" s="2" t="inlineStr">
        <is>
          <t>Exits close beyond the level (mean 2.3% since 2008); added to the distance when sizing</t>
        </is>
      </c>
    </row>
    <row r="14">
      <c r="A14" s="9" t="inlineStr">
        <is>
          <t>Portfolio tilts this week</t>
        </is>
      </c>
    </row>
    <row r="15">
      <c r="A15" s="4" t="inlineStr">
        <is>
          <t>Keep bond duration short; avoid adding long Treasuries</t>
        </is>
      </c>
      <c r="C15" s="2" t="inlineStr">
        <is>
          <t>Because: Long yields rising (bond prices down-trend)</t>
        </is>
      </c>
    </row>
    <row r="16">
      <c r="A16" s="4" t="inlineStr">
        <is>
          <t>Dollar strengthening: for a GBP-based portfolio unhedged US assets gain from the currency, so do not hedge USD exposure now; a strong dollar is a headwind for HK/EM</t>
        </is>
      </c>
      <c r="C16" s="2" t="inlineStr">
        <is>
          <t>Because: Dollar strengthening</t>
        </is>
      </c>
    </row>
    <row r="17">
      <c r="A17" s="4" t="inlineStr">
        <is>
          <t>Keep energy exposure (oil up-trend supports XLE/SHEL/XOM)</t>
        </is>
      </c>
      <c r="C17" s="2" t="inlineStr">
        <is>
          <t>Because: Oil in up-trend</t>
        </is>
      </c>
    </row>
    <row r="18">
      <c r="A18" s="4" t="inlineStr">
        <is>
          <t>Do not add gold until it reclaims its 40-week average</t>
        </is>
      </c>
      <c r="C18" s="2" t="inlineStr">
        <is>
          <t>Because: Gold in down-trend</t>
        </is>
      </c>
    </row>
    <row r="19">
      <c r="A19" s="4" t="inlineStr">
        <is>
          <t>Favour quality and defensives over consumer cyclicals</t>
        </is>
      </c>
      <c r="C19" s="2" t="inlineStr">
        <is>
          <t>Because: Defensives leading cyclicals</t>
        </is>
      </c>
    </row>
    <row r="20">
      <c r="A20" s="4" t="inlineStr">
        <is>
          <t>Underweight China A-shares; wait for relative strength to turn</t>
        </is>
      </c>
      <c r="C20" s="2" t="inlineStr">
        <is>
          <t>Because: US outperforming China A-shares</t>
        </is>
      </c>
    </row>
    <row r="21">
      <c r="A21" s="4" t="inlineStr">
        <is>
          <t>Keep Hong Kong at or below benchmark weight</t>
        </is>
      </c>
      <c r="C21" s="2" t="inlineStr">
        <is>
          <t>Because: US outperforming Hong Kong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11" customWidth="1" min="3" max="3"/>
    <col width="22" customWidth="1" min="4" max="4"/>
    <col width="8" customWidth="1" min="5" max="5"/>
    <col width="12" customWidth="1" min="6" max="6"/>
    <col width="60" customWidth="1" min="7" max="7"/>
    <col width="11" customWidth="1" min="8" max="8"/>
    <col width="12" customWidth="1" min="9" max="9"/>
    <col width="12" customWidth="1" min="10" max="10"/>
    <col width="12" customWidth="1" min="11" max="11"/>
    <col width="11" customWidth="1" min="12" max="12"/>
    <col width="12" customWidth="1" min="13" max="13"/>
    <col width="11" customWidth="1" min="14" max="14"/>
    <col width="11" customWidth="1" min="15" max="15"/>
    <col width="13" customWidth="1" min="16" max="16"/>
    <col width="10" customWidth="1" min="17" max="17"/>
    <col width="10" customWidth="1" min="18" max="18"/>
    <col width="10" customWidth="1" min="19" max="19"/>
  </cols>
  <sheetData>
    <row r="1">
      <c r="A1" s="5" t="inlineStr">
        <is>
          <t>Symbol</t>
        </is>
      </c>
      <c r="B1" s="5" t="inlineStr">
        <is>
          <t>Name</t>
        </is>
      </c>
      <c r="C1" s="5" t="inlineStr">
        <is>
          <t>Market</t>
        </is>
      </c>
      <c r="D1" s="5" t="inlineStr">
        <is>
          <t>Sector</t>
        </is>
      </c>
      <c r="E1" s="5" t="inlineStr">
        <is>
          <t>Type</t>
        </is>
      </c>
      <c r="F1" s="5" t="inlineStr">
        <is>
          <t>Decision</t>
        </is>
      </c>
      <c r="G1" s="5" t="inlineStr">
        <is>
          <t>Why</t>
        </is>
      </c>
      <c r="H1" s="5" t="inlineStr">
        <is>
          <t>Last</t>
        </is>
      </c>
      <c r="I1" s="5" t="inlineStr">
        <is>
          <t>Buy zone low</t>
        </is>
      </c>
      <c r="J1" s="5" t="inlineStr">
        <is>
          <t>Buy zone high</t>
        </is>
      </c>
      <c r="K1" s="5" t="inlineStr">
        <is>
          <t>40w average</t>
        </is>
      </c>
      <c r="L1" s="5" t="inlineStr">
        <is>
          <t>Exit level</t>
        </is>
      </c>
      <c r="M1" s="5" t="inlineStr">
        <is>
          <t>Revisit above</t>
        </is>
      </c>
      <c r="N1" s="5" t="inlineStr">
        <is>
          <t>Distance to exit</t>
        </is>
      </c>
      <c r="O1" s="5" t="inlineStr">
        <is>
          <t>Max weight</t>
        </is>
      </c>
      <c r="P1" s="5" t="inlineStr">
        <is>
          <t>Amount</t>
        </is>
      </c>
      <c r="Q1" s="5" t="inlineStr">
        <is>
          <t>3m return</t>
        </is>
      </c>
      <c r="R1" s="5" t="inlineStr">
        <is>
          <t>1y return</t>
        </is>
      </c>
      <c r="S1" s="5" t="inlineStr">
        <is>
          <t>Momentum</t>
        </is>
      </c>
    </row>
    <row r="2">
      <c r="A2" s="10" t="inlineStr">
        <is>
          <t>XLE</t>
        </is>
      </c>
      <c r="B2" s="10" t="inlineStr">
        <is>
          <t>Energy Select Sector ETF</t>
        </is>
      </c>
      <c r="C2" s="10" t="inlineStr">
        <is>
          <t>US</t>
        </is>
      </c>
      <c r="D2" s="10" t="inlineStr">
        <is>
          <t>Energy</t>
        </is>
      </c>
      <c r="E2" s="10" t="inlineStr">
        <is>
          <t>Fund</t>
        </is>
      </c>
      <c r="F2" s="11" t="inlineStr">
        <is>
          <t>Accumulate</t>
        </is>
      </c>
      <c r="G2" s="12" t="inlineStr">
        <is>
          <t>Up-trend with risk-adjusted momentum &gt;= 0.5.</t>
        </is>
      </c>
      <c r="H2" s="13" t="n">
        <v>65.08</v>
      </c>
      <c r="I2" s="13" t="n">
        <v>62.91800000000001</v>
      </c>
      <c r="J2" s="13" t="n">
        <v>65.08</v>
      </c>
      <c r="K2" s="13" t="n">
        <v>57.60374999999999</v>
      </c>
      <c r="L2" s="14">
        <f>IF(K2="","",K2*(1-Policy!$B$7))</f>
        <v/>
      </c>
      <c r="M2" s="14" t="n"/>
      <c r="N2" s="15">
        <f>IF(L2="","",H2/L2-1)</f>
        <v/>
      </c>
      <c r="O2" s="15">
        <f>IF(AND(F2="Accumulate",N2&lt;&gt;"",N2&gt;0),MIN(Policy!$B$4/(N2+Policy!$B$12),IF(E2="Stock",Policy!$B$5,Policy!$B$6)),"")</f>
        <v/>
      </c>
      <c r="P2" s="16">
        <f>IF(O2="","",O2*Policy!$B$3*Policy!$B$2)</f>
        <v/>
      </c>
      <c r="Q2" s="17" t="n">
        <v>0.1815541031227306</v>
      </c>
      <c r="R2" s="17" t="n">
        <v>0.513840428006513</v>
      </c>
      <c r="S2" s="18" t="n">
        <v>1.511370472014722</v>
      </c>
    </row>
    <row r="3">
      <c r="A3" s="10" t="inlineStr">
        <is>
          <t>SHEL</t>
        </is>
      </c>
      <c r="B3" s="10" t="inlineStr">
        <is>
          <t>Shell</t>
        </is>
      </c>
      <c r="C3" s="10" t="inlineStr">
        <is>
          <t>UK</t>
        </is>
      </c>
      <c r="D3" s="10" t="inlineStr">
        <is>
          <t>Energy</t>
        </is>
      </c>
      <c r="E3" s="10" t="inlineStr">
        <is>
          <t>Stock</t>
        </is>
      </c>
      <c r="F3" s="11" t="inlineStr">
        <is>
          <t>Accumulate</t>
        </is>
      </c>
      <c r="G3" s="12" t="inlineStr">
        <is>
          <t>Up-trend with risk-adjusted momentum &gt;= 0.5.</t>
        </is>
      </c>
      <c r="H3" s="13" t="n">
        <v>37.954</v>
      </c>
      <c r="I3" s="13" t="n">
        <v>34.869</v>
      </c>
      <c r="J3" s="13" t="n">
        <v>37.954</v>
      </c>
      <c r="K3" s="13" t="n">
        <v>32.08544999999999</v>
      </c>
      <c r="L3" s="14">
        <f>IF(K3="","",K3*(1-Policy!$B$7))</f>
        <v/>
      </c>
      <c r="M3" s="14" t="n"/>
      <c r="N3" s="15">
        <f>IF(L3="","",H3/L3-1)</f>
        <v/>
      </c>
      <c r="O3" s="15">
        <f>IF(AND(F3="Accumulate",N3&lt;&gt;"",N3&gt;0),MIN(Policy!$B$4/(N3+Policy!$B$12),IF(E3="Stock",Policy!$B$5,Policy!$B$6)),"")</f>
        <v/>
      </c>
      <c r="P3" s="16">
        <f>IF(O3="","",O3*Policy!$B$3*Policy!$B$2)</f>
        <v/>
      </c>
      <c r="Q3" s="17" t="n">
        <v>0.2483225891330088</v>
      </c>
      <c r="R3" s="17" t="n">
        <v>0.4096716683999406</v>
      </c>
      <c r="S3" s="18" t="n">
        <v>1.41291302176624</v>
      </c>
    </row>
    <row r="4">
      <c r="A4" s="10" t="inlineStr">
        <is>
          <t>XOM</t>
        </is>
      </c>
      <c r="B4" s="10" t="inlineStr">
        <is>
          <t>Exxon Mobil</t>
        </is>
      </c>
      <c r="C4" s="10" t="inlineStr">
        <is>
          <t>US</t>
        </is>
      </c>
      <c r="D4" s="10" t="inlineStr">
        <is>
          <t>Energy</t>
        </is>
      </c>
      <c r="E4" s="10" t="inlineStr">
        <is>
          <t>Stock</t>
        </is>
      </c>
      <c r="F4" s="11" t="inlineStr">
        <is>
          <t>Accumulate</t>
        </is>
      </c>
      <c r="G4" s="12" t="inlineStr">
        <is>
          <t>Up-trend with risk-adjusted momentum &gt;= 0.5.</t>
        </is>
      </c>
      <c r="H4" s="13" t="n">
        <v>168.94</v>
      </c>
      <c r="I4" s="13" t="n">
        <v>161.75</v>
      </c>
      <c r="J4" s="13" t="n">
        <v>168.94</v>
      </c>
      <c r="K4" s="13" t="n">
        <v>151.365</v>
      </c>
      <c r="L4" s="14">
        <f>IF(K4="","",K4*(1-Policy!$B$7))</f>
        <v/>
      </c>
      <c r="M4" s="14" t="n"/>
      <c r="N4" s="15">
        <f>IF(L4="","",H4/L4-1)</f>
        <v/>
      </c>
      <c r="O4" s="15">
        <f>IF(AND(F4="Accumulate",N4&lt;&gt;"",N4&gt;0),MIN(Policy!$B$4/(N4+Policy!$B$12),IF(E4="Stock",Policy!$B$5,Policy!$B$6)),"")</f>
        <v/>
      </c>
      <c r="P4" s="16">
        <f>IF(O4="","",O4*Policy!$B$3*Policy!$B$2)</f>
        <v/>
      </c>
      <c r="Q4" s="17" t="n">
        <v>0.2164458525345623</v>
      </c>
      <c r="R4" s="17" t="n">
        <v>0.505167498218104</v>
      </c>
      <c r="S4" s="18" t="n">
        <v>1.386879674996444</v>
      </c>
    </row>
    <row r="5">
      <c r="A5" s="10" t="inlineStr">
        <is>
          <t>SOXX</t>
        </is>
      </c>
      <c r="B5" s="10" t="inlineStr">
        <is>
          <t>Semiconductor ETF</t>
        </is>
      </c>
      <c r="C5" s="10" t="inlineStr">
        <is>
          <t>US</t>
        </is>
      </c>
      <c r="D5" s="10" t="inlineStr">
        <is>
          <t>Semiconductors</t>
        </is>
      </c>
      <c r="E5" s="10" t="inlineStr">
        <is>
          <t>Fund</t>
        </is>
      </c>
      <c r="F5" s="11" t="inlineStr">
        <is>
          <t>Accumulate</t>
        </is>
      </c>
      <c r="G5" s="12" t="inlineStr">
        <is>
          <t>Up-trend with risk-adjusted momentum &gt;= 0.5.</t>
        </is>
      </c>
      <c r="H5" s="13" t="n">
        <v>559.4</v>
      </c>
      <c r="I5" s="13" t="n">
        <v>542.3340000000001</v>
      </c>
      <c r="J5" s="13" t="n">
        <v>559.4</v>
      </c>
      <c r="K5" s="13" t="n">
        <v>469.56475</v>
      </c>
      <c r="L5" s="14">
        <f>IF(K5="","",K5*(1-Policy!$B$7))</f>
        <v/>
      </c>
      <c r="M5" s="14" t="n"/>
      <c r="N5" s="15">
        <f>IF(L5="","",H5/L5-1)</f>
        <v/>
      </c>
      <c r="O5" s="15">
        <f>IF(AND(F5="Accumulate",N5&lt;&gt;"",N5&gt;0),MIN(Policy!$B$4/(N5+Policy!$B$12),IF(E5="Stock",Policy!$B$5,Policy!$B$6)),"")</f>
        <v/>
      </c>
      <c r="P5" s="16">
        <f>IF(O5="","",O5*Policy!$B$3*Policy!$B$2)</f>
        <v/>
      </c>
      <c r="Q5" s="17" t="n">
        <v>-0.03774039288540276</v>
      </c>
      <c r="R5" s="17" t="n">
        <v>1.056693260781646</v>
      </c>
      <c r="S5" s="18" t="n">
        <v>1.328269096911673</v>
      </c>
    </row>
    <row r="6">
      <c r="A6" s="10" t="inlineStr">
        <is>
          <t>CPER</t>
        </is>
      </c>
      <c r="B6" s="10" t="inlineStr">
        <is>
          <t>US Copper Index Fund</t>
        </is>
      </c>
      <c r="C6" s="10" t="inlineStr">
        <is>
          <t>Cross-asset</t>
        </is>
      </c>
      <c r="D6" s="10" t="inlineStr">
        <is>
          <t>Copper</t>
        </is>
      </c>
      <c r="E6" s="10" t="inlineStr">
        <is>
          <t>Fund</t>
        </is>
      </c>
      <c r="F6" s="11" t="inlineStr">
        <is>
          <t>Accumulate</t>
        </is>
      </c>
      <c r="G6" s="12" t="inlineStr">
        <is>
          <t>Up-trend with risk-adjusted momentum &gt;= 0.5.</t>
        </is>
      </c>
      <c r="H6" s="13" t="n">
        <v>40.31</v>
      </c>
      <c r="I6" s="13" t="n">
        <v>39.937</v>
      </c>
      <c r="J6" s="13" t="n">
        <v>40.31</v>
      </c>
      <c r="K6" s="13" t="n">
        <v>37.63325</v>
      </c>
      <c r="L6" s="14">
        <f>IF(K6="","",K6*(1-Policy!$B$7))</f>
        <v/>
      </c>
      <c r="M6" s="14" t="n"/>
      <c r="N6" s="15">
        <f>IF(L6="","",H6/L6-1)</f>
        <v/>
      </c>
      <c r="O6" s="15">
        <f>IF(AND(F6="Accumulate",N6&lt;&gt;"",N6&gt;0),MIN(Policy!$B$4/(N6+Policy!$B$12),IF(E6="Stock",Policy!$B$5,Policy!$B$6)),"")</f>
        <v/>
      </c>
      <c r="P6" s="16">
        <f>IF(O6="","",O6*Policy!$B$3*Policy!$B$2)</f>
        <v/>
      </c>
      <c r="Q6" s="17" t="n">
        <v>0.06106870229007644</v>
      </c>
      <c r="R6" s="17" t="n">
        <v>0.3316815328708294</v>
      </c>
      <c r="S6" s="18" t="n">
        <v>1.038871310773212</v>
      </c>
    </row>
    <row r="7">
      <c r="A7" s="10" t="inlineStr">
        <is>
          <t>XLK</t>
        </is>
      </c>
      <c r="B7" s="10" t="inlineStr">
        <is>
          <t>Technology Select Sector ETF</t>
        </is>
      </c>
      <c r="C7" s="10" t="inlineStr">
        <is>
          <t>US</t>
        </is>
      </c>
      <c r="D7" s="10" t="inlineStr">
        <is>
          <t>Technology</t>
        </is>
      </c>
      <c r="E7" s="10" t="inlineStr">
        <is>
          <t>Fund</t>
        </is>
      </c>
      <c r="F7" s="11" t="inlineStr">
        <is>
          <t>Accumulate</t>
        </is>
      </c>
      <c r="G7" s="12" t="inlineStr">
        <is>
          <t>Up-trend with risk-adjusted momentum &gt;= 0.5.</t>
        </is>
      </c>
      <c r="H7" s="13" t="n">
        <v>198.78</v>
      </c>
      <c r="I7" s="13" t="n">
        <v>190.639</v>
      </c>
      <c r="J7" s="13" t="n">
        <v>198.78</v>
      </c>
      <c r="K7" s="13" t="n">
        <v>167.396</v>
      </c>
      <c r="L7" s="14">
        <f>IF(K7="","",K7*(1-Policy!$B$7))</f>
        <v/>
      </c>
      <c r="M7" s="14" t="n"/>
      <c r="N7" s="15">
        <f>IF(L7="","",H7/L7-1)</f>
        <v/>
      </c>
      <c r="O7" s="15">
        <f>IF(AND(F7="Accumulate",N7&lt;&gt;"",N7&gt;0),MIN(Policy!$B$4/(N7+Policy!$B$12),IF(E7="Stock",Policy!$B$5,Policy!$B$6)),"")</f>
        <v/>
      </c>
      <c r="P7" s="16">
        <f>IF(O7="","",O7*Policy!$B$3*Policy!$B$2)</f>
        <v/>
      </c>
      <c r="Q7" s="17" t="n">
        <v>0.06997523953062768</v>
      </c>
      <c r="R7" s="17" t="n">
        <v>0.3948984246166802</v>
      </c>
      <c r="S7" s="18" t="n">
        <v>0.9781263174236828</v>
      </c>
    </row>
    <row r="8">
      <c r="A8" s="10" t="inlineStr">
        <is>
          <t>SPY</t>
        </is>
      </c>
      <c r="B8" s="10" t="inlineStr">
        <is>
          <t>S&amp;P 500 ETF</t>
        </is>
      </c>
      <c r="C8" s="10" t="inlineStr">
        <is>
          <t>US</t>
        </is>
      </c>
      <c r="D8" s="10" t="inlineStr">
        <is>
          <t>Broad market</t>
        </is>
      </c>
      <c r="E8" s="10" t="inlineStr">
        <is>
          <t>Fund</t>
        </is>
      </c>
      <c r="F8" s="11" t="inlineStr">
        <is>
          <t>Accumulate</t>
        </is>
      </c>
      <c r="G8" s="12" t="inlineStr">
        <is>
          <t>Up-trend with risk-adjusted momentum &gt;= 0.5.</t>
        </is>
      </c>
      <c r="H8" s="13" t="n">
        <v>778.5700000000001</v>
      </c>
      <c r="I8" s="13" t="n">
        <v>770.0400000000001</v>
      </c>
      <c r="J8" s="13" t="n">
        <v>778.5700000000001</v>
      </c>
      <c r="K8" s="13" t="n">
        <v>724.3847499999999</v>
      </c>
      <c r="L8" s="14">
        <f>IF(K8="","",K8*(1-Policy!$B$7))</f>
        <v/>
      </c>
      <c r="M8" s="14" t="n"/>
      <c r="N8" s="15">
        <f>IF(L8="","",H8/L8-1)</f>
        <v/>
      </c>
      <c r="O8" s="15">
        <f>IF(AND(F8="Accumulate",N8&lt;&gt;"",N8&gt;0),MIN(Policy!$B$4/(N8+Policy!$B$12),IF(E8="Stock",Policy!$B$5,Policy!$B$6)),"")</f>
        <v/>
      </c>
      <c r="P8" s="16">
        <f>IF(O8="","",O8*Policy!$B$3*Policy!$B$2)</f>
        <v/>
      </c>
      <c r="Q8" s="17" t="n">
        <v>0.03128684018809191</v>
      </c>
      <c r="R8" s="17" t="n">
        <v>0.1922605739487306</v>
      </c>
      <c r="S8" s="18" t="n">
        <v>0.9280042621941922</v>
      </c>
    </row>
    <row r="9">
      <c r="A9" s="10" t="inlineStr">
        <is>
          <t>AAPL</t>
        </is>
      </c>
      <c r="B9" s="10" t="inlineStr">
        <is>
          <t>Apple</t>
        </is>
      </c>
      <c r="C9" s="10" t="inlineStr">
        <is>
          <t>US</t>
        </is>
      </c>
      <c r="D9" s="10" t="inlineStr">
        <is>
          <t>Hardware</t>
        </is>
      </c>
      <c r="E9" s="10" t="inlineStr">
        <is>
          <t>Stock</t>
        </is>
      </c>
      <c r="F9" s="11" t="inlineStr">
        <is>
          <t>Accumulate</t>
        </is>
      </c>
      <c r="G9" s="12" t="inlineStr">
        <is>
          <t>Up-trend with risk-adjusted momentum &gt;= 0.5.</t>
        </is>
      </c>
      <c r="H9" s="13" t="n">
        <v>336.64</v>
      </c>
      <c r="I9" s="13" t="n">
        <v>324.808</v>
      </c>
      <c r="J9" s="13" t="n">
        <v>336.64</v>
      </c>
      <c r="K9" s="13" t="n">
        <v>291.74175</v>
      </c>
      <c r="L9" s="14">
        <f>IF(K9="","",K9*(1-Policy!$B$7))</f>
        <v/>
      </c>
      <c r="M9" s="14" t="n"/>
      <c r="N9" s="15">
        <f>IF(L9="","",H9/L9-1)</f>
        <v/>
      </c>
      <c r="O9" s="15">
        <f>IF(AND(F9="Accumulate",N9&lt;&gt;"",N9&gt;0),MIN(Policy!$B$4/(N9+Policy!$B$12),IF(E9="Stock",Policy!$B$5,Policy!$B$6)),"")</f>
        <v/>
      </c>
      <c r="P9" s="16">
        <f>IF(O9="","",O9*Policy!$B$3*Policy!$B$2)</f>
        <v/>
      </c>
      <c r="Q9" s="17" t="n">
        <v>0.06761385259419006</v>
      </c>
      <c r="R9" s="17" t="n">
        <v>0.3725282341908915</v>
      </c>
      <c r="S9" s="18" t="n">
        <v>0.9190194616280561</v>
      </c>
    </row>
    <row r="10">
      <c r="A10" s="10" t="inlineStr">
        <is>
          <t>QQQ</t>
        </is>
      </c>
      <c r="B10" s="10" t="inlineStr">
        <is>
          <t>Nasdaq-100 ETF</t>
        </is>
      </c>
      <c r="C10" s="10" t="inlineStr">
        <is>
          <t>US</t>
        </is>
      </c>
      <c r="D10" s="10" t="inlineStr">
        <is>
          <t>Technology tilt</t>
        </is>
      </c>
      <c r="E10" s="10" t="inlineStr">
        <is>
          <t>Fund</t>
        </is>
      </c>
      <c r="F10" s="11" t="inlineStr">
        <is>
          <t>Accumulate</t>
        </is>
      </c>
      <c r="G10" s="12" t="inlineStr">
        <is>
          <t>Up-trend with risk-adjusted momentum &gt;= 0.5.</t>
        </is>
      </c>
      <c r="H10" s="13" t="n">
        <v>751.27</v>
      </c>
      <c r="I10" s="13" t="n">
        <v>728.461</v>
      </c>
      <c r="J10" s="13" t="n">
        <v>751.27</v>
      </c>
      <c r="K10" s="13" t="n">
        <v>674.52575</v>
      </c>
      <c r="L10" s="14">
        <f>IF(K10="","",K10*(1-Policy!$B$7))</f>
        <v/>
      </c>
      <c r="M10" s="14" t="n"/>
      <c r="N10" s="15">
        <f>IF(L10="","",H10/L10-1)</f>
        <v/>
      </c>
      <c r="O10" s="15">
        <f>IF(AND(F10="Accumulate",N10&lt;&gt;"",N10&gt;0),MIN(Policy!$B$4/(N10+Policy!$B$12),IF(E10="Stock",Policy!$B$5,Policy!$B$6)),"")</f>
        <v/>
      </c>
      <c r="P10" s="16">
        <f>IF(O10="","",O10*Policy!$B$3*Policy!$B$2)</f>
        <v/>
      </c>
      <c r="Q10" s="17" t="n">
        <v>0.03550605780761118</v>
      </c>
      <c r="R10" s="17" t="n">
        <v>0.2744189991518236</v>
      </c>
      <c r="S10" s="18" t="n">
        <v>0.8454045139588844</v>
      </c>
    </row>
    <row r="11">
      <c r="A11" s="10" t="inlineStr">
        <is>
          <t>XLV</t>
        </is>
      </c>
      <c r="B11" s="10" t="inlineStr">
        <is>
          <t>Health Care Select Sector ETF</t>
        </is>
      </c>
      <c r="C11" s="10" t="inlineStr">
        <is>
          <t>US</t>
        </is>
      </c>
      <c r="D11" s="10" t="inlineStr">
        <is>
          <t>Healthcare</t>
        </is>
      </c>
      <c r="E11" s="10" t="inlineStr">
        <is>
          <t>Fund</t>
        </is>
      </c>
      <c r="F11" s="11" t="inlineStr">
        <is>
          <t>Accumulate</t>
        </is>
      </c>
      <c r="G11" s="12" t="inlineStr">
        <is>
          <t>Up-trend with risk-adjusted momentum &gt;= 0.5.</t>
        </is>
      </c>
      <c r="H11" s="13" t="n">
        <v>170.81</v>
      </c>
      <c r="I11" s="13" t="n">
        <v>169.172</v>
      </c>
      <c r="J11" s="13" t="n">
        <v>170.81</v>
      </c>
      <c r="K11" s="13" t="n">
        <v>157.20075</v>
      </c>
      <c r="L11" s="14">
        <f>IF(K11="","",K11*(1-Policy!$B$7))</f>
        <v/>
      </c>
      <c r="M11" s="14" t="n"/>
      <c r="N11" s="15">
        <f>IF(L11="","",H11/L11-1)</f>
        <v/>
      </c>
      <c r="O11" s="15">
        <f>IF(AND(F11="Accumulate",N11&lt;&gt;"",N11&gt;0),MIN(Policy!$B$4/(N11+Policy!$B$12),IF(E11="Stock",Policy!$B$5,Policy!$B$6)),"")</f>
        <v/>
      </c>
      <c r="P11" s="16">
        <f>IF(O11="","",O11*Policy!$B$3*Policy!$B$2)</f>
        <v/>
      </c>
      <c r="Q11" s="17" t="n">
        <v>0.06198706789355879</v>
      </c>
      <c r="R11" s="17" t="n">
        <v>0.2019562310885932</v>
      </c>
      <c r="S11" s="18" t="n">
        <v>0.8258693868051881</v>
      </c>
    </row>
    <row r="12">
      <c r="A12" s="10" t="inlineStr">
        <is>
          <t>GOOGL</t>
        </is>
      </c>
      <c r="B12" s="10" t="inlineStr">
        <is>
          <t>Alphabet</t>
        </is>
      </c>
      <c r="C12" s="10" t="inlineStr">
        <is>
          <t>US</t>
        </is>
      </c>
      <c r="D12" s="10" t="inlineStr">
        <is>
          <t>Communication services</t>
        </is>
      </c>
      <c r="E12" s="10" t="inlineStr">
        <is>
          <t>Stock</t>
        </is>
      </c>
      <c r="F12" s="11" t="inlineStr">
        <is>
          <t>Accumulate</t>
        </is>
      </c>
      <c r="G12" s="12" t="inlineStr">
        <is>
          <t>Up-trend with risk-adjusted momentum &gt;= 0.5.</t>
        </is>
      </c>
      <c r="H12" s="13" t="n">
        <v>351.66</v>
      </c>
      <c r="I12" s="13" t="n">
        <v>345.719</v>
      </c>
      <c r="J12" s="13" t="n">
        <v>351.66</v>
      </c>
      <c r="K12" s="13" t="n">
        <v>340.8045</v>
      </c>
      <c r="L12" s="14">
        <f>IF(K12="","",K12*(1-Policy!$B$7))</f>
        <v/>
      </c>
      <c r="M12" s="14" t="n"/>
      <c r="N12" s="15">
        <f>IF(L12="","",H12/L12-1)</f>
        <v/>
      </c>
      <c r="O12" s="15">
        <f>IF(AND(F12="Accumulate",N12&lt;&gt;"",N12&gt;0),MIN(Policy!$B$4/(N12+Policy!$B$12),IF(E12="Stock",Policy!$B$5,Policy!$B$6)),"")</f>
        <v/>
      </c>
      <c r="P12" s="16">
        <f>IF(O12="","",O12*Policy!$B$3*Policy!$B$2)</f>
        <v/>
      </c>
      <c r="Q12" s="17" t="n">
        <v>-0.01545439274315463</v>
      </c>
      <c r="R12" s="17" t="n">
        <v>0.486494483662341</v>
      </c>
      <c r="S12" s="18" t="n">
        <v>0.6974549942705075</v>
      </c>
    </row>
    <row r="13">
      <c r="A13" s="10" t="inlineStr">
        <is>
          <t>NVDA</t>
        </is>
      </c>
      <c r="B13" s="10" t="inlineStr">
        <is>
          <t>Nvidia</t>
        </is>
      </c>
      <c r="C13" s="10" t="inlineStr">
        <is>
          <t>US</t>
        </is>
      </c>
      <c r="D13" s="10" t="inlineStr">
        <is>
          <t>Semiconductors</t>
        </is>
      </c>
      <c r="E13" s="10" t="inlineStr">
        <is>
          <t>Stock</t>
        </is>
      </c>
      <c r="F13" s="11" t="inlineStr">
        <is>
          <t>Accumulate</t>
        </is>
      </c>
      <c r="G13" s="12" t="inlineStr">
        <is>
          <t>Up-trend with risk-adjusted momentum &gt;= 0.5.</t>
        </is>
      </c>
      <c r="H13" s="13" t="n">
        <v>229.28</v>
      </c>
      <c r="I13" s="13" t="n">
        <v>224.061</v>
      </c>
      <c r="J13" s="13" t="n">
        <v>229.28</v>
      </c>
      <c r="K13" s="13" t="n">
        <v>202.37825</v>
      </c>
      <c r="L13" s="14">
        <f>IF(K13="","",K13*(1-Policy!$B$7))</f>
        <v/>
      </c>
      <c r="M13" s="14" t="n"/>
      <c r="N13" s="15">
        <f>IF(L13="","",H13/L13-1)</f>
        <v/>
      </c>
      <c r="O13" s="15">
        <f>IF(AND(F13="Accumulate",N13&lt;&gt;"",N13&gt;0),MIN(Policy!$B$4/(N13+Policy!$B$12),IF(E13="Stock",Policy!$B$5,Policy!$B$6)),"")</f>
        <v/>
      </c>
      <c r="P13" s="16">
        <f>IF(O13="","",O13*Policy!$B$3*Policy!$B$2)</f>
        <v/>
      </c>
      <c r="Q13" s="17" t="n">
        <v>0.08684110731892303</v>
      </c>
      <c r="R13" s="17" t="n">
        <v>0.2518017034286963</v>
      </c>
      <c r="S13" s="18" t="n">
        <v>0.5228763724287293</v>
      </c>
    </row>
    <row r="14">
      <c r="A14" s="10" t="inlineStr">
        <is>
          <t>CRWD</t>
        </is>
      </c>
      <c r="B14" s="10" t="inlineStr">
        <is>
          <t>CrowdStrike</t>
        </is>
      </c>
      <c r="C14" s="10" t="inlineStr">
        <is>
          <t>US</t>
        </is>
      </c>
      <c r="D14" s="10" t="inlineStr">
        <is>
          <t>Software</t>
        </is>
      </c>
      <c r="E14" s="10" t="inlineStr">
        <is>
          <t>Stock</t>
        </is>
      </c>
      <c r="F14" s="19" t="inlineStr">
        <is>
          <t>Hold</t>
        </is>
      </c>
      <c r="G14" s="12" t="inlineStr">
        <is>
          <t>Up-trend but 73% above 40-week average: hold, do not chase; add on pullback.</t>
        </is>
      </c>
      <c r="H14" s="13" t="n">
        <v>275.04</v>
      </c>
      <c r="I14" s="13" t="n">
        <v>229.642</v>
      </c>
      <c r="J14" s="13" t="n">
        <v>275.04</v>
      </c>
      <c r="K14" s="13" t="n">
        <v>158.96625</v>
      </c>
      <c r="L14" s="14">
        <f>IF(K14="","",K14*(1-Policy!$B$7))</f>
        <v/>
      </c>
      <c r="M14" s="14" t="n"/>
      <c r="N14" s="15">
        <f>IF(L14="","",H14/L14-1)</f>
        <v/>
      </c>
      <c r="O14" s="15">
        <f>IF(AND(F14="Accumulate",N14&lt;&gt;"",N14&gt;0),MIN(Policy!$B$4/(N14+Policy!$B$12),IF(E14="Stock",Policy!$B$5,Policy!$B$6)),"")</f>
        <v/>
      </c>
      <c r="P14" s="16">
        <f>IF(O14="","",O14*Policy!$B$3*Policy!$B$2)</f>
        <v/>
      </c>
      <c r="Q14" s="17" t="n">
        <v>0.4693877551020409</v>
      </c>
      <c r="R14" s="17" t="n">
        <v>1.270009285051068</v>
      </c>
      <c r="S14" s="18" t="n">
        <v>1.590943903129741</v>
      </c>
    </row>
    <row r="15">
      <c r="A15" s="10" t="inlineStr">
        <is>
          <t>USO</t>
        </is>
      </c>
      <c r="B15" s="10" t="inlineStr">
        <is>
          <t>US Oil Fund</t>
        </is>
      </c>
      <c r="C15" s="10" t="inlineStr">
        <is>
          <t>Cross-asset</t>
        </is>
      </c>
      <c r="D15" s="10" t="inlineStr">
        <is>
          <t>Crude oil</t>
        </is>
      </c>
      <c r="E15" s="10" t="inlineStr">
        <is>
          <t>Fund</t>
        </is>
      </c>
      <c r="F15" s="19" t="inlineStr">
        <is>
          <t>Hold</t>
        </is>
      </c>
      <c r="G15" s="12" t="inlineStr">
        <is>
          <t>Up-trend but 24% above 40-week average: hold, do not chase; add on pullback.</t>
        </is>
      </c>
      <c r="H15" s="13" t="n">
        <v>148.2</v>
      </c>
      <c r="I15" s="13" t="n">
        <v>140.35</v>
      </c>
      <c r="J15" s="13" t="n">
        <v>148.2</v>
      </c>
      <c r="K15" s="13" t="n">
        <v>119.42025</v>
      </c>
      <c r="L15" s="14">
        <f>IF(K15="","",K15*(1-Policy!$B$7))</f>
        <v/>
      </c>
      <c r="M15" s="14" t="n"/>
      <c r="N15" s="15">
        <f>IF(L15="","",H15/L15-1)</f>
        <v/>
      </c>
      <c r="O15" s="15">
        <f>IF(AND(F15="Accumulate",N15&lt;&gt;"",N15&gt;0),MIN(Policy!$B$4/(N15+Policy!$B$12),IF(E15="Stock",Policy!$B$5,Policy!$B$6)),"")</f>
        <v/>
      </c>
      <c r="P15" s="16">
        <f>IF(O15="","",O15*Policy!$B$3*Policy!$B$2)</f>
        <v/>
      </c>
      <c r="Q15" s="17" t="n">
        <v>0.3633854645814165</v>
      </c>
      <c r="R15" s="17" t="n">
        <v>1.135754431474276</v>
      </c>
      <c r="S15" s="18" t="n">
        <v>1.369560738528492</v>
      </c>
    </row>
    <row r="16">
      <c r="A16" s="10" t="inlineStr">
        <is>
          <t>PANW</t>
        </is>
      </c>
      <c r="B16" s="10" t="inlineStr">
        <is>
          <t>Palo Alto Networks</t>
        </is>
      </c>
      <c r="C16" s="10" t="inlineStr">
        <is>
          <t>US</t>
        </is>
      </c>
      <c r="D16" s="10" t="inlineStr">
        <is>
          <t>Software</t>
        </is>
      </c>
      <c r="E16" s="10" t="inlineStr">
        <is>
          <t>Stock</t>
        </is>
      </c>
      <c r="F16" s="19" t="inlineStr">
        <is>
          <t>Hold</t>
        </is>
      </c>
      <c r="G16" s="12" t="inlineStr">
        <is>
          <t>Up-trend but 61% above 40-week average: hold, do not chase; add on pullback.</t>
        </is>
      </c>
      <c r="H16" s="13" t="n">
        <v>418.78</v>
      </c>
      <c r="I16" s="13" t="n">
        <v>370.184</v>
      </c>
      <c r="J16" s="13" t="n">
        <v>418.78</v>
      </c>
      <c r="K16" s="13" t="n">
        <v>259.32275</v>
      </c>
      <c r="L16" s="14">
        <f>IF(K16="","",K16*(1-Policy!$B$7))</f>
        <v/>
      </c>
      <c r="M16" s="14" t="n"/>
      <c r="N16" s="15">
        <f>IF(L16="","",H16/L16-1)</f>
        <v/>
      </c>
      <c r="O16" s="15">
        <f>IF(AND(F16="Accumulate",N16&lt;&gt;"",N16&gt;0),MIN(Policy!$B$4/(N16+Policy!$B$12),IF(E16="Stock",Policy!$B$5,Policy!$B$6)),"")</f>
        <v/>
      </c>
      <c r="P16" s="16">
        <f>IF(O16="","",O16*Policy!$B$3*Policy!$B$2)</f>
        <v/>
      </c>
      <c r="Q16" s="17" t="n">
        <v>0.2849559694394157</v>
      </c>
      <c r="R16" s="17" t="n">
        <v>1.008055622152961</v>
      </c>
      <c r="S16" s="18" t="n">
        <v>1.286685095337118</v>
      </c>
    </row>
    <row r="17">
      <c r="A17" s="10" t="inlineStr">
        <is>
          <t>MSFT</t>
        </is>
      </c>
      <c r="B17" s="10" t="inlineStr">
        <is>
          <t>Microsoft</t>
        </is>
      </c>
      <c r="C17" s="10" t="inlineStr">
        <is>
          <t>US</t>
        </is>
      </c>
      <c r="D17" s="10" t="inlineStr">
        <is>
          <t>Software</t>
        </is>
      </c>
      <c r="E17" s="10" t="inlineStr">
        <is>
          <t>Stock</t>
        </is>
      </c>
      <c r="F17" s="19" t="inlineStr">
        <is>
          <t>Hold</t>
        </is>
      </c>
      <c r="G17" s="12" t="inlineStr">
        <is>
          <t>Up-trend but 24% above 40-week average: hold, do not chase; add on pullback.</t>
        </is>
      </c>
      <c r="H17" s="13" t="n">
        <v>535.0700000000001</v>
      </c>
      <c r="I17" s="13" t="n">
        <v>505.0039999999999</v>
      </c>
      <c r="J17" s="13" t="n">
        <v>535.0700000000001</v>
      </c>
      <c r="K17" s="13" t="n">
        <v>432.716</v>
      </c>
      <c r="L17" s="14">
        <f>IF(K17="","",K17*(1-Policy!$B$7))</f>
        <v/>
      </c>
      <c r="M17" s="14" t="n"/>
      <c r="N17" s="15">
        <f>IF(L17="","",H17/L17-1)</f>
        <v/>
      </c>
      <c r="O17" s="15">
        <f>IF(AND(F17="Accumulate",N17&lt;&gt;"",N17&gt;0),MIN(Policy!$B$4/(N17+Policy!$B$12),IF(E17="Stock",Policy!$B$5,Policy!$B$6)),"")</f>
        <v/>
      </c>
      <c r="P17" s="16">
        <f>IF(O17="","",O17*Policy!$B$3*Policy!$B$2)</f>
        <v/>
      </c>
      <c r="Q17" s="17" t="n">
        <v>0.3894313165411583</v>
      </c>
      <c r="R17" s="17" t="n">
        <v>0.04718568968216696</v>
      </c>
      <c r="S17" s="18" t="n">
        <v>0.5837658721152027</v>
      </c>
    </row>
    <row r="18">
      <c r="A18" s="10" t="inlineStr">
        <is>
          <t>ANET</t>
        </is>
      </c>
      <c r="B18" s="10" t="inlineStr">
        <is>
          <t>Arista Networks</t>
        </is>
      </c>
      <c r="C18" s="10" t="inlineStr">
        <is>
          <t>US</t>
        </is>
      </c>
      <c r="D18" s="10" t="inlineStr">
        <is>
          <t>Networking</t>
        </is>
      </c>
      <c r="E18" s="10" t="inlineStr">
        <is>
          <t>Stock</t>
        </is>
      </c>
      <c r="F18" s="19" t="inlineStr">
        <is>
          <t>Hold</t>
        </is>
      </c>
      <c r="G18" s="12" t="inlineStr">
        <is>
          <t>Up-trend but 34% above 40-week average: hold, do not chase; add on pullback.</t>
        </is>
      </c>
      <c r="H18" s="13" t="n">
        <v>216.74</v>
      </c>
      <c r="I18" s="13" t="n">
        <v>199.492</v>
      </c>
      <c r="J18" s="13" t="n">
        <v>216.74</v>
      </c>
      <c r="K18" s="13" t="n">
        <v>162.23325</v>
      </c>
      <c r="L18" s="14">
        <f>IF(K18="","",K18*(1-Policy!$B$7))</f>
        <v/>
      </c>
      <c r="M18" s="14" t="n"/>
      <c r="N18" s="15">
        <f>IF(L18="","",H18/L18-1)</f>
        <v/>
      </c>
      <c r="O18" s="15">
        <f>IF(AND(F18="Accumulate",N18&lt;&gt;"",N18&gt;0),MIN(Policy!$B$4/(N18+Policy!$B$12),IF(E18="Stock",Policy!$B$5,Policy!$B$6)),"")</f>
        <v/>
      </c>
      <c r="P18" s="16">
        <f>IF(O18="","",O18*Policy!$B$3*Policy!$B$2)</f>
        <v/>
      </c>
      <c r="Q18" s="17" t="n">
        <v>0.1592854086435602</v>
      </c>
      <c r="R18" s="17" t="n">
        <v>0.4064892926670993</v>
      </c>
      <c r="S18" s="18" t="n">
        <v>0.5750741418772266</v>
      </c>
    </row>
    <row r="19">
      <c r="A19" s="10" t="inlineStr">
        <is>
          <t>600036</t>
        </is>
      </c>
      <c r="B19" s="10" t="inlineStr">
        <is>
          <t>China Merchants Bank A</t>
        </is>
      </c>
      <c r="C19" s="10" t="inlineStr">
        <is>
          <t>China</t>
        </is>
      </c>
      <c r="D19" s="10" t="inlineStr">
        <is>
          <t>Banks</t>
        </is>
      </c>
      <c r="E19" s="10" t="inlineStr">
        <is>
          <t>Stock</t>
        </is>
      </c>
      <c r="F19" s="19" t="inlineStr">
        <is>
          <t>Hold</t>
        </is>
      </c>
      <c r="G19" s="12" t="inlineStr">
        <is>
          <t>Up-trend but momentum &lt; 0.5 (or market stressed): hold existing, no urgency to add.</t>
        </is>
      </c>
      <c r="H19" s="13" t="n">
        <v>41.42</v>
      </c>
      <c r="I19" s="13" t="n">
        <v>40.251</v>
      </c>
      <c r="J19" s="13" t="n">
        <v>41.42</v>
      </c>
      <c r="K19" s="13" t="n">
        <v>39.09125</v>
      </c>
      <c r="L19" s="14">
        <f>IF(K19="","",K19*(1-Policy!$B$7))</f>
        <v/>
      </c>
      <c r="M19" s="14" t="n"/>
      <c r="N19" s="15">
        <f>IF(L19="","",H19/L19-1)</f>
        <v/>
      </c>
      <c r="O19" s="15">
        <f>IF(AND(F19="Accumulate",N19&lt;&gt;"",N19&gt;0),MIN(Policy!$B$4/(N19+Policy!$B$12),IF(E19="Stock",Policy!$B$5,Policy!$B$6)),"")</f>
        <v/>
      </c>
      <c r="P19" s="16">
        <f>IF(O19="","",O19*Policy!$B$3*Policy!$B$2)</f>
        <v/>
      </c>
      <c r="Q19" s="17" t="n">
        <v>0.1231019522776573</v>
      </c>
      <c r="R19" s="17" t="n">
        <v>0.03086112493778015</v>
      </c>
      <c r="S19" s="18" t="n">
        <v>0.4527915234696397</v>
      </c>
    </row>
    <row r="20">
      <c r="A20" s="10" t="inlineStr">
        <is>
          <t>AMZN</t>
        </is>
      </c>
      <c r="B20" s="10" t="inlineStr">
        <is>
          <t>Amazon</t>
        </is>
      </c>
      <c r="C20" s="10" t="inlineStr">
        <is>
          <t>US</t>
        </is>
      </c>
      <c r="D20" s="10" t="inlineStr">
        <is>
          <t>Consumer / cloud</t>
        </is>
      </c>
      <c r="E20" s="10" t="inlineStr">
        <is>
          <t>Stock</t>
        </is>
      </c>
      <c r="F20" s="19" t="inlineStr">
        <is>
          <t>Hold</t>
        </is>
      </c>
      <c r="G20" s="12" t="inlineStr">
        <is>
          <t>Up-trend but momentum &lt; 0.5 (or market stressed): hold existing, no urgency to add.</t>
        </is>
      </c>
      <c r="H20" s="13" t="n">
        <v>262.43</v>
      </c>
      <c r="I20" s="13" t="n">
        <v>259.481</v>
      </c>
      <c r="J20" s="13" t="n">
        <v>262.43</v>
      </c>
      <c r="K20" s="13" t="n">
        <v>242.99775</v>
      </c>
      <c r="L20" s="14">
        <f>IF(K20="","",K20*(1-Policy!$B$7))</f>
        <v/>
      </c>
      <c r="M20" s="14" t="n"/>
      <c r="N20" s="15">
        <f>IF(L20="","",H20/L20-1)</f>
        <v/>
      </c>
      <c r="O20" s="15">
        <f>IF(AND(F20="Accumulate",N20&lt;&gt;"",N20&gt;0),MIN(Policy!$B$4/(N20+Policy!$B$12),IF(E20="Stock",Policy!$B$5,Policy!$B$6)),"")</f>
        <v/>
      </c>
      <c r="P20" s="16">
        <f>IF(O20="","",O20*Policy!$B$3*Policy!$B$2)</f>
        <v/>
      </c>
      <c r="Q20" s="17" t="n">
        <v>0.06965843319475007</v>
      </c>
      <c r="R20" s="17" t="n">
        <v>0.2128760918796506</v>
      </c>
      <c r="S20" s="18" t="n">
        <v>0.3822840465722389</v>
      </c>
    </row>
    <row r="21">
      <c r="A21" s="10" t="inlineStr">
        <is>
          <t>IGV</t>
        </is>
      </c>
      <c r="B21" s="10" t="inlineStr">
        <is>
          <t>Software ETF</t>
        </is>
      </c>
      <c r="C21" s="10" t="inlineStr">
        <is>
          <t>US</t>
        </is>
      </c>
      <c r="D21" s="10" t="inlineStr">
        <is>
          <t>Software</t>
        </is>
      </c>
      <c r="E21" s="10" t="inlineStr">
        <is>
          <t>Fund</t>
        </is>
      </c>
      <c r="F21" s="19" t="inlineStr">
        <is>
          <t>Hold</t>
        </is>
      </c>
      <c r="G21" s="12" t="inlineStr">
        <is>
          <t>Up-trend but 21% above 40-week average: hold, do not chase; add on pullback.</t>
        </is>
      </c>
      <c r="H21" s="13" t="n">
        <v>112.67</v>
      </c>
      <c r="I21" s="13" t="n">
        <v>105.719</v>
      </c>
      <c r="J21" s="13" t="n">
        <v>112.67</v>
      </c>
      <c r="K21" s="13" t="n">
        <v>93.096</v>
      </c>
      <c r="L21" s="14">
        <f>IF(K21="","",K21*(1-Policy!$B$7))</f>
        <v/>
      </c>
      <c r="M21" s="14" t="n"/>
      <c r="N21" s="15">
        <f>IF(L21="","",H21/L21-1)</f>
        <v/>
      </c>
      <c r="O21" s="15">
        <f>IF(AND(F21="Accumulate",N21&lt;&gt;"",N21&gt;0),MIN(Policy!$B$4/(N21+Policy!$B$12),IF(E21="Stock",Policy!$B$5,Policy!$B$6)),"")</f>
        <v/>
      </c>
      <c r="P21" s="16">
        <f>IF(O21="","",O21*Policy!$B$3*Policy!$B$2)</f>
        <v/>
      </c>
      <c r="Q21" s="17" t="n">
        <v>0.2192403419543341</v>
      </c>
      <c r="R21" s="17" t="n">
        <v>0.005174413417789347</v>
      </c>
      <c r="S21" s="18" t="n">
        <v>0.322457376064392</v>
      </c>
    </row>
    <row r="22">
      <c r="A22" s="10" t="inlineStr">
        <is>
          <t>600900</t>
        </is>
      </c>
      <c r="B22" s="10" t="inlineStr">
        <is>
          <t>China Yangtze Power</t>
        </is>
      </c>
      <c r="C22" s="10" t="inlineStr">
        <is>
          <t>China</t>
        </is>
      </c>
      <c r="D22" s="10" t="inlineStr">
        <is>
          <t>Utilities</t>
        </is>
      </c>
      <c r="E22" s="10" t="inlineStr">
        <is>
          <t>Stock</t>
        </is>
      </c>
      <c r="F22" s="19" t="inlineStr">
        <is>
          <t>Hold</t>
        </is>
      </c>
      <c r="G22" s="12" t="inlineStr">
        <is>
          <t>Up-trend but momentum &lt; 0.5 (or market stressed): hold existing, no urgency to add.</t>
        </is>
      </c>
      <c r="H22" s="13" t="n">
        <v>28.99</v>
      </c>
      <c r="I22" s="13" t="n">
        <v>28.289</v>
      </c>
      <c r="J22" s="13" t="n">
        <v>28.99</v>
      </c>
      <c r="K22" s="13" t="n">
        <v>27.3975</v>
      </c>
      <c r="L22" s="14">
        <f>IF(K22="","",K22*(1-Policy!$B$7))</f>
        <v/>
      </c>
      <c r="M22" s="14" t="n"/>
      <c r="N22" s="15">
        <f>IF(L22="","",H22/L22-1)</f>
        <v/>
      </c>
      <c r="O22" s="15">
        <f>IF(AND(F22="Accumulate",N22&lt;&gt;"",N22&gt;0),MIN(Policy!$B$4/(N22+Policy!$B$12),IF(E22="Stock",Policy!$B$5,Policy!$B$6)),"")</f>
        <v/>
      </c>
      <c r="P22" s="16">
        <f>IF(O22="","",O22*Policy!$B$3*Policy!$B$2)</f>
        <v/>
      </c>
      <c r="Q22" s="17" t="n">
        <v>0.03424901890831245</v>
      </c>
      <c r="R22" s="17" t="n">
        <v>0.04543815362423365</v>
      </c>
      <c r="S22" s="18" t="n">
        <v>0.2960543255654822</v>
      </c>
    </row>
    <row r="23">
      <c r="A23" s="10" t="inlineStr">
        <is>
          <t>META</t>
        </is>
      </c>
      <c r="B23" s="10" t="inlineStr">
        <is>
          <t>Meta Platforms</t>
        </is>
      </c>
      <c r="C23" s="10" t="inlineStr">
        <is>
          <t>US</t>
        </is>
      </c>
      <c r="D23" s="10" t="inlineStr">
        <is>
          <t>Communication services</t>
        </is>
      </c>
      <c r="E23" s="10" t="inlineStr">
        <is>
          <t>Stock</t>
        </is>
      </c>
      <c r="F23" s="19" t="inlineStr">
        <is>
          <t>Hold</t>
        </is>
      </c>
      <c r="G23" s="12" t="inlineStr">
        <is>
          <t>Up-trend but momentum &lt; 0.5 (or market stressed): hold existing, no urgency to add.</t>
        </is>
      </c>
      <c r="H23" s="13" t="n">
        <v>718.67</v>
      </c>
      <c r="I23" s="13" t="n">
        <v>643.883</v>
      </c>
      <c r="J23" s="13" t="n">
        <v>718.67</v>
      </c>
      <c r="K23" s="13" t="n">
        <v>626.2792499999999</v>
      </c>
      <c r="L23" s="14">
        <f>IF(K23="","",K23*(1-Policy!$B$7))</f>
        <v/>
      </c>
      <c r="M23" s="14" t="n"/>
      <c r="N23" s="15">
        <f>IF(L23="","",H23/L23-1)</f>
        <v/>
      </c>
      <c r="O23" s="15">
        <f>IF(AND(F23="Accumulate",N23&lt;&gt;"",N23&gt;0),MIN(Policy!$B$4/(N23+Policy!$B$12),IF(E23="Stock",Policy!$B$5,Policy!$B$6)),"")</f>
        <v/>
      </c>
      <c r="P23" s="16">
        <f>IF(O23="","",O23*Policy!$B$3*Policy!$B$2)</f>
        <v/>
      </c>
      <c r="Q23" s="17" t="n">
        <v>0.07390804082425539</v>
      </c>
      <c r="R23" s="17" t="n">
        <v>0.0189564724230824</v>
      </c>
      <c r="S23" s="18" t="n">
        <v>0.1056078546597575</v>
      </c>
    </row>
    <row r="24">
      <c r="A24" s="10" t="inlineStr">
        <is>
          <t>NOW</t>
        </is>
      </c>
      <c r="B24" s="10" t="inlineStr">
        <is>
          <t>ServiceNow</t>
        </is>
      </c>
      <c r="C24" s="10" t="inlineStr">
        <is>
          <t>US</t>
        </is>
      </c>
      <c r="D24" s="10" t="inlineStr">
        <is>
          <t>Software</t>
        </is>
      </c>
      <c r="E24" s="10" t="inlineStr">
        <is>
          <t>Stock</t>
        </is>
      </c>
      <c r="F24" s="19" t="inlineStr">
        <is>
          <t>Hold</t>
        </is>
      </c>
      <c r="G24" s="12" t="inlineStr">
        <is>
          <t>Up-trend but 24% above 40-week average: hold, do not chase; add on pullback.</t>
        </is>
      </c>
      <c r="H24" s="13" t="n">
        <v>140.86</v>
      </c>
      <c r="I24" s="13" t="n">
        <v>134.219</v>
      </c>
      <c r="J24" s="13" t="n">
        <v>140.86</v>
      </c>
      <c r="K24" s="13" t="n">
        <v>113.50675</v>
      </c>
      <c r="L24" s="14">
        <f>IF(K24="","",K24*(1-Policy!$B$7))</f>
        <v/>
      </c>
      <c r="M24" s="14" t="n"/>
      <c r="N24" s="15">
        <f>IF(L24="","",H24/L24-1)</f>
        <v/>
      </c>
      <c r="O24" s="15">
        <f>IF(AND(F24="Accumulate",N24&lt;&gt;"",N24&gt;0),MIN(Policy!$B$4/(N24+Policy!$B$12),IF(E24="Stock",Policy!$B$5,Policy!$B$6)),"")</f>
        <v/>
      </c>
      <c r="P24" s="16">
        <f>IF(O24="","",O24*Policy!$B$3*Policy!$B$2)</f>
        <v/>
      </c>
      <c r="Q24" s="17" t="n">
        <v>0.3077708662148364</v>
      </c>
      <c r="R24" s="17" t="n">
        <v>-0.2205621956617971</v>
      </c>
      <c r="S24" s="18" t="n">
        <v>0.07463676750337495</v>
      </c>
    </row>
    <row r="25">
      <c r="A25" s="10" t="inlineStr">
        <is>
          <t>REL</t>
        </is>
      </c>
      <c r="B25" s="10" t="inlineStr">
        <is>
          <t>RELX</t>
        </is>
      </c>
      <c r="C25" s="10" t="inlineStr">
        <is>
          <t>UK</t>
        </is>
      </c>
      <c r="D25" s="10" t="inlineStr">
        <is>
          <t>Information services</t>
        </is>
      </c>
      <c r="E25" s="10" t="inlineStr">
        <is>
          <t>Stock</t>
        </is>
      </c>
      <c r="F25" s="19" t="inlineStr">
        <is>
          <t>Hold</t>
        </is>
      </c>
      <c r="G25" s="12" t="inlineStr">
        <is>
          <t>Up-trend but momentum &lt; 0.5 (or market stressed): hold existing, no urgency to add.</t>
        </is>
      </c>
      <c r="H25" s="13" t="n">
        <v>27.22</v>
      </c>
      <c r="I25" s="13" t="n">
        <v>25.82100000000001</v>
      </c>
      <c r="J25" s="13" t="n">
        <v>27.22</v>
      </c>
      <c r="K25" s="13" t="n">
        <v>25.537</v>
      </c>
      <c r="L25" s="14">
        <f>IF(K25="","",K25*(1-Policy!$B$7))</f>
        <v/>
      </c>
      <c r="M25" s="14" t="n"/>
      <c r="N25" s="15">
        <f>IF(L25="","",H25/L25-1)</f>
        <v/>
      </c>
      <c r="O25" s="15">
        <f>IF(AND(F25="Accumulate",N25&lt;&gt;"",N25&gt;0),MIN(Policy!$B$4/(N25+Policy!$B$12),IF(E25="Stock",Policy!$B$5,Policy!$B$6)),"")</f>
        <v/>
      </c>
      <c r="P25" s="16">
        <f>IF(O25="","",O25*Policy!$B$3*Policy!$B$2)</f>
        <v/>
      </c>
      <c r="Q25" s="17" t="n">
        <v>0.1280563613758807</v>
      </c>
      <c r="R25" s="17" t="n">
        <v>-0.1941977501480167</v>
      </c>
      <c r="S25" s="18" t="n">
        <v>-0.09426189808896077</v>
      </c>
    </row>
    <row r="26">
      <c r="A26" s="10" t="inlineStr">
        <is>
          <t>ULVR</t>
        </is>
      </c>
      <c r="B26" s="10" t="inlineStr">
        <is>
          <t>Unilever</t>
        </is>
      </c>
      <c r="C26" s="10" t="inlineStr">
        <is>
          <t>UK</t>
        </is>
      </c>
      <c r="D26" s="10" t="inlineStr">
        <is>
          <t>Consumer staples</t>
        </is>
      </c>
      <c r="E26" s="10" t="inlineStr">
        <is>
          <t>Stock</t>
        </is>
      </c>
      <c r="F26" s="19" t="inlineStr">
        <is>
          <t>Hold</t>
        </is>
      </c>
      <c r="G26" s="12" t="inlineStr">
        <is>
          <t>Up-trend but momentum &lt; 0.5 (or market stressed): hold existing, no urgency to add.</t>
        </is>
      </c>
      <c r="H26" s="13" t="n">
        <v>46.77</v>
      </c>
      <c r="I26" s="13" t="n">
        <v>46.48439999999999</v>
      </c>
      <c r="J26" s="13" t="n">
        <v>46.77</v>
      </c>
      <c r="K26" s="13" t="n">
        <v>46.31654999999999</v>
      </c>
      <c r="L26" s="14">
        <f>IF(K26="","",K26*(1-Policy!$B$7))</f>
        <v/>
      </c>
      <c r="M26" s="14" t="n"/>
      <c r="N26" s="15">
        <f>IF(L26="","",H26/L26-1)</f>
        <v/>
      </c>
      <c r="O26" s="15">
        <f>IF(AND(F26="Accumulate",N26&lt;&gt;"",N26&gt;0),MIN(Policy!$B$4/(N26+Policy!$B$12),IF(E26="Stock",Policy!$B$5,Policy!$B$6)),"")</f>
        <v/>
      </c>
      <c r="P26" s="16">
        <f>IF(O26="","",O26*Policy!$B$3*Policy!$B$2)</f>
        <v/>
      </c>
      <c r="Q26" s="17" t="n">
        <v>0.01815569487983293</v>
      </c>
      <c r="R26" s="17" t="n">
        <v>-0.06737068513272482</v>
      </c>
      <c r="S26" s="18" t="n">
        <v>-0.1138354255710761</v>
      </c>
    </row>
    <row r="27">
      <c r="A27" s="10" t="inlineStr">
        <is>
          <t>O39</t>
        </is>
      </c>
      <c r="B27" s="10" t="inlineStr">
        <is>
          <t>OCBC</t>
        </is>
      </c>
      <c r="C27" s="10" t="inlineStr">
        <is>
          <t>SG</t>
        </is>
      </c>
      <c r="D27" s="10" t="inlineStr">
        <is>
          <t>Banks</t>
        </is>
      </c>
      <c r="E27" s="10" t="inlineStr">
        <is>
          <t>Stock</t>
        </is>
      </c>
      <c r="F27" s="20" t="inlineStr">
        <is>
          <t>Watch</t>
        </is>
      </c>
      <c r="G27" s="12" t="inlineStr">
        <is>
          <t>Trend unresolved: wait for price to reclaim both averages.</t>
        </is>
      </c>
      <c r="H27" s="13" t="n">
        <v>29</v>
      </c>
      <c r="I27" s="13" t="n"/>
      <c r="J27" s="13" t="n"/>
      <c r="K27" s="13" t="n"/>
      <c r="L27" s="14">
        <f>IF(K27="","",K27*(1-Policy!$B$7))</f>
        <v/>
      </c>
      <c r="M27" s="14" t="n">
        <v>31.206</v>
      </c>
      <c r="N27" s="15">
        <f>IF(L27="","",H27/L27-1)</f>
        <v/>
      </c>
      <c r="O27" s="15">
        <f>IF(AND(F27="Accumulate",N27&lt;&gt;"",N27&gt;0),MIN(Policy!$B$4/(N27+Policy!$B$12),IF(E27="Stock",Policy!$B$5,Policy!$B$6)),"")</f>
        <v/>
      </c>
      <c r="P27" s="16">
        <f>IF(O27="","",O27*Policy!$B$3*Policy!$B$2)</f>
        <v/>
      </c>
      <c r="Q27" s="17" t="n">
        <v>0.05723660226029903</v>
      </c>
      <c r="R27" s="17" t="n">
        <v>0.7180094786729858</v>
      </c>
      <c r="S27" s="18" t="n">
        <v>1.925919772196023</v>
      </c>
    </row>
    <row r="28">
      <c r="A28" s="10" t="inlineStr">
        <is>
          <t>D05</t>
        </is>
      </c>
      <c r="B28" s="10" t="inlineStr">
        <is>
          <t>DBS</t>
        </is>
      </c>
      <c r="C28" s="10" t="inlineStr">
        <is>
          <t>SG</t>
        </is>
      </c>
      <c r="D28" s="10" t="inlineStr">
        <is>
          <t>Banks</t>
        </is>
      </c>
      <c r="E28" s="10" t="inlineStr">
        <is>
          <t>Stock</t>
        </is>
      </c>
      <c r="F28" s="20" t="inlineStr">
        <is>
          <t>Watch</t>
        </is>
      </c>
      <c r="G28" s="12" t="inlineStr">
        <is>
          <t>Trend unresolved: wait for price to reclaim both averages.</t>
        </is>
      </c>
      <c r="H28" s="13" t="n">
        <v>73.36</v>
      </c>
      <c r="I28" s="13" t="n"/>
      <c r="J28" s="13" t="n"/>
      <c r="K28" s="13" t="n"/>
      <c r="L28" s="14">
        <f>IF(K28="","",K28*(1-Policy!$B$7))</f>
        <v/>
      </c>
      <c r="M28" s="14" t="n">
        <v>76.509</v>
      </c>
      <c r="N28" s="15">
        <f>IF(L28="","",H28/L28-1)</f>
        <v/>
      </c>
      <c r="O28" s="15">
        <f>IF(AND(F28="Accumulate",N28&lt;&gt;"",N28&gt;0),MIN(Policy!$B$4/(N28+Policy!$B$12),IF(E28="Stock",Policy!$B$5,Policy!$B$6)),"")</f>
        <v/>
      </c>
      <c r="P28" s="16">
        <f>IF(O28="","",O28*Policy!$B$3*Policy!$B$2)</f>
        <v/>
      </c>
      <c r="Q28" s="17" t="n">
        <v>0.04130589070262602</v>
      </c>
      <c r="R28" s="17" t="n">
        <v>0.3623026926648096</v>
      </c>
      <c r="S28" s="18" t="n">
        <v>1.323608751405785</v>
      </c>
    </row>
    <row r="29">
      <c r="A29" s="10" t="inlineStr">
        <is>
          <t>ES3</t>
        </is>
      </c>
      <c r="B29" s="10" t="inlineStr">
        <is>
          <t>SPDR Straits Times Index ETF</t>
        </is>
      </c>
      <c r="C29" s="10" t="inlineStr">
        <is>
          <t>SG</t>
        </is>
      </c>
      <c r="D29" s="10" t="inlineStr">
        <is>
          <t>Broad market</t>
        </is>
      </c>
      <c r="E29" s="10" t="inlineStr">
        <is>
          <t>Fund</t>
        </is>
      </c>
      <c r="F29" s="20" t="inlineStr">
        <is>
          <t>Watch</t>
        </is>
      </c>
      <c r="G29" s="12" t="inlineStr">
        <is>
          <t>Trend unresolved: wait for price to reclaim both averages.</t>
        </is>
      </c>
      <c r="H29" s="13" t="n">
        <v>5.497</v>
      </c>
      <c r="I29" s="13" t="n"/>
      <c r="J29" s="13" t="n"/>
      <c r="K29" s="13" t="n"/>
      <c r="L29" s="14">
        <f>IF(K29="","",K29*(1-Policy!$B$7))</f>
        <v/>
      </c>
      <c r="M29" s="14" t="n">
        <v>5.749899999999999</v>
      </c>
      <c r="N29" s="15">
        <f>IF(L29="","",H29/L29-1)</f>
        <v/>
      </c>
      <c r="O29" s="15">
        <f>IF(AND(F29="Accumulate",N29&lt;&gt;"",N29&gt;0),MIN(Policy!$B$4/(N29+Policy!$B$12),IF(E29="Stock",Policy!$B$5,Policy!$B$6)),"")</f>
        <v/>
      </c>
      <c r="P29" s="16">
        <f>IF(O29="","",O29*Policy!$B$3*Policy!$B$2)</f>
        <v/>
      </c>
      <c r="Q29" s="17" t="n">
        <v>-0.01310592459605031</v>
      </c>
      <c r="R29" s="17" t="n">
        <v>0.2256410256410255</v>
      </c>
      <c r="S29" s="18" t="n">
        <v>0.9826088855075157</v>
      </c>
    </row>
    <row r="30">
      <c r="A30" s="10" t="inlineStr">
        <is>
          <t>RIO</t>
        </is>
      </c>
      <c r="B30" s="10" t="inlineStr">
        <is>
          <t>Rio Tinto</t>
        </is>
      </c>
      <c r="C30" s="10" t="inlineStr">
        <is>
          <t>UK</t>
        </is>
      </c>
      <c r="D30" s="10" t="inlineStr">
        <is>
          <t>Materials</t>
        </is>
      </c>
      <c r="E30" s="10" t="inlineStr">
        <is>
          <t>Stock</t>
        </is>
      </c>
      <c r="F30" s="20" t="inlineStr">
        <is>
          <t>Watch</t>
        </is>
      </c>
      <c r="G30" s="12" t="inlineStr">
        <is>
          <t>Trend unresolved: wait for price to reclaim both averages.</t>
        </is>
      </c>
      <c r="H30" s="13" t="n">
        <v>71.16</v>
      </c>
      <c r="I30" s="13" t="n"/>
      <c r="J30" s="13" t="n"/>
      <c r="K30" s="13" t="n"/>
      <c r="L30" s="14">
        <f>IF(K30="","",K30*(1-Policy!$B$7))</f>
        <v/>
      </c>
      <c r="M30" s="14" t="n">
        <v>73.378</v>
      </c>
      <c r="N30" s="15">
        <f>IF(L30="","",H30/L30-1)</f>
        <v/>
      </c>
      <c r="O30" s="15">
        <f>IF(AND(F30="Accumulate",N30&lt;&gt;"",N30&gt;0),MIN(Policy!$B$4/(N30+Policy!$B$12),IF(E30="Stock",Policy!$B$5,Policy!$B$6)),"")</f>
        <v/>
      </c>
      <c r="P30" s="16">
        <f>IF(O30="","",O30*Policy!$B$3*Policy!$B$2)</f>
        <v/>
      </c>
      <c r="Q30" s="17" t="n">
        <v>0.05578635014836775</v>
      </c>
      <c r="R30" s="17" t="n">
        <v>0.4293461886110275</v>
      </c>
      <c r="S30" s="18" t="n">
        <v>0.9172248357895179</v>
      </c>
    </row>
    <row r="31">
      <c r="A31" s="10" t="inlineStr">
        <is>
          <t>HSBA</t>
        </is>
      </c>
      <c r="B31" s="10" t="inlineStr">
        <is>
          <t>HSBC</t>
        </is>
      </c>
      <c r="C31" s="10" t="inlineStr">
        <is>
          <t>UK</t>
        </is>
      </c>
      <c r="D31" s="10" t="inlineStr">
        <is>
          <t>Banks</t>
        </is>
      </c>
      <c r="E31" s="10" t="inlineStr">
        <is>
          <t>Stock</t>
        </is>
      </c>
      <c r="F31" s="20" t="inlineStr">
        <is>
          <t>Watch</t>
        </is>
      </c>
      <c r="G31" s="12" t="inlineStr">
        <is>
          <t>Trend unresolved: wait for price to reclaim both averages.</t>
        </is>
      </c>
      <c r="H31" s="13" t="n">
        <v>13.958</v>
      </c>
      <c r="I31" s="13" t="n"/>
      <c r="J31" s="13" t="n"/>
      <c r="K31" s="13" t="n"/>
      <c r="L31" s="14">
        <f>IF(K31="","",K31*(1-Policy!$B$7))</f>
        <v/>
      </c>
      <c r="M31" s="14" t="n">
        <v>15.0922</v>
      </c>
      <c r="N31" s="15">
        <f>IF(L31="","",H31/L31-1)</f>
        <v/>
      </c>
      <c r="O31" s="15">
        <f>IF(AND(F31="Accumulate",N31&lt;&gt;"",N31&gt;0),MIN(Policy!$B$4/(N31+Policy!$B$12),IF(E31="Stock",Policy!$B$5,Policy!$B$6)),"")</f>
        <v/>
      </c>
      <c r="P31" s="16">
        <f>IF(O31="","",O31*Policy!$B$3*Policy!$B$2)</f>
        <v/>
      </c>
      <c r="Q31" s="17" t="n">
        <v>-0.0515085621092688</v>
      </c>
      <c r="R31" s="17" t="n">
        <v>0.4059226430298146</v>
      </c>
      <c r="S31" s="18" t="n">
        <v>0.6920824854034398</v>
      </c>
    </row>
    <row r="32">
      <c r="A32" s="10" t="inlineStr">
        <is>
          <t>857</t>
        </is>
      </c>
      <c r="B32" s="10" t="inlineStr">
        <is>
          <t>PetroChina H</t>
        </is>
      </c>
      <c r="C32" s="10" t="inlineStr">
        <is>
          <t>HK</t>
        </is>
      </c>
      <c r="D32" s="10" t="inlineStr">
        <is>
          <t>Energy</t>
        </is>
      </c>
      <c r="E32" s="10" t="inlineStr">
        <is>
          <t>Stock</t>
        </is>
      </c>
      <c r="F32" s="20" t="inlineStr">
        <is>
          <t>Watch</t>
        </is>
      </c>
      <c r="G32" s="12" t="inlineStr">
        <is>
          <t>Trend unresolved: wait for price to reclaim both averages.</t>
        </is>
      </c>
      <c r="H32" s="13" t="n">
        <v>9.83</v>
      </c>
      <c r="I32" s="13" t="n"/>
      <c r="J32" s="13" t="n"/>
      <c r="K32" s="13" t="n"/>
      <c r="L32" s="14">
        <f>IF(K32="","",K32*(1-Policy!$B$7))</f>
        <v/>
      </c>
      <c r="M32" s="14" t="n">
        <v>9.935874999999999</v>
      </c>
      <c r="N32" s="15">
        <f>IF(L32="","",H32/L32-1)</f>
        <v/>
      </c>
      <c r="O32" s="15">
        <f>IF(AND(F32="Accumulate",N32&lt;&gt;"",N32&gt;0),MIN(Policy!$B$4/(N32+Policy!$B$12),IF(E32="Stock",Policy!$B$5,Policy!$B$6)),"")</f>
        <v/>
      </c>
      <c r="P32" s="16">
        <f>IF(O32="","",O32*Policy!$B$3*Policy!$B$2)</f>
        <v/>
      </c>
      <c r="Q32" s="17" t="n">
        <v>0.08859357696567005</v>
      </c>
      <c r="R32" s="17" t="n">
        <v>0.3521320495185696</v>
      </c>
      <c r="S32" s="18" t="n">
        <v>0.6818089709841402</v>
      </c>
    </row>
    <row r="33">
      <c r="A33" s="10" t="inlineStr">
        <is>
          <t>5</t>
        </is>
      </c>
      <c r="B33" s="10" t="inlineStr">
        <is>
          <t>HSBC (HK)</t>
        </is>
      </c>
      <c r="C33" s="10" t="inlineStr">
        <is>
          <t>HK</t>
        </is>
      </c>
      <c r="D33" s="10" t="inlineStr">
        <is>
          <t>Banks</t>
        </is>
      </c>
      <c r="E33" s="10" t="inlineStr">
        <is>
          <t>Stock</t>
        </is>
      </c>
      <c r="F33" s="20" t="inlineStr">
        <is>
          <t>Watch</t>
        </is>
      </c>
      <c r="G33" s="12" t="inlineStr">
        <is>
          <t>Trend unresolved: wait for price to reclaim both averages.</t>
        </is>
      </c>
      <c r="H33" s="13" t="n">
        <v>145.2</v>
      </c>
      <c r="I33" s="13" t="n"/>
      <c r="J33" s="13" t="n"/>
      <c r="K33" s="13" t="n"/>
      <c r="L33" s="14">
        <f>IF(K33="","",K33*(1-Policy!$B$7))</f>
        <v/>
      </c>
      <c r="M33" s="14" t="n">
        <v>159.02</v>
      </c>
      <c r="N33" s="15">
        <f>IF(L33="","",H33/L33-1)</f>
        <v/>
      </c>
      <c r="O33" s="15">
        <f>IF(AND(F33="Accumulate",N33&lt;&gt;"",N33&gt;0),MIN(Policy!$B$4/(N33+Policy!$B$12),IF(E33="Stock",Policy!$B$5,Policy!$B$6)),"")</f>
        <v/>
      </c>
      <c r="P33" s="16">
        <f>IF(O33="","",O33*Policy!$B$3*Policy!$B$2)</f>
        <v/>
      </c>
      <c r="Q33" s="17" t="n">
        <v>-0.05407166123778506</v>
      </c>
      <c r="R33" s="17" t="n">
        <v>0.4028985507246376</v>
      </c>
      <c r="S33" s="18" t="n">
        <v>0.6751764073088758</v>
      </c>
    </row>
    <row r="34">
      <c r="A34" s="10" t="inlineStr">
        <is>
          <t>SSE</t>
        </is>
      </c>
      <c r="B34" s="10" t="inlineStr">
        <is>
          <t>SSE</t>
        </is>
      </c>
      <c r="C34" s="10" t="inlineStr">
        <is>
          <t>UK</t>
        </is>
      </c>
      <c r="D34" s="10" t="inlineStr">
        <is>
          <t>Utilities</t>
        </is>
      </c>
      <c r="E34" s="10" t="inlineStr">
        <is>
          <t>Stock</t>
        </is>
      </c>
      <c r="F34" s="20" t="inlineStr">
        <is>
          <t>Watch</t>
        </is>
      </c>
      <c r="G34" s="12" t="inlineStr">
        <is>
          <t>Trend unresolved: wait for price to reclaim both averages.</t>
        </is>
      </c>
      <c r="H34" s="13" t="n">
        <v>24.53</v>
      </c>
      <c r="I34" s="13" t="n"/>
      <c r="J34" s="13" t="n"/>
      <c r="K34" s="13" t="n"/>
      <c r="L34" s="14">
        <f>IF(K34="","",K34*(1-Policy!$B$7))</f>
        <v/>
      </c>
      <c r="M34" s="14" t="n">
        <v>24.7265</v>
      </c>
      <c r="N34" s="15">
        <f>IF(L34="","",H34/L34-1)</f>
        <v/>
      </c>
      <c r="O34" s="15">
        <f>IF(AND(F34="Accumulate",N34&lt;&gt;"",N34&gt;0),MIN(Policy!$B$4/(N34+Policy!$B$12),IF(E34="Stock",Policy!$B$5,Policy!$B$6)),"")</f>
        <v/>
      </c>
      <c r="P34" s="16">
        <f>IF(O34="","",O34*Policy!$B$3*Policy!$B$2)</f>
        <v/>
      </c>
      <c r="Q34" s="17" t="n">
        <v>0.01029654036243821</v>
      </c>
      <c r="R34" s="17" t="n">
        <v>0.3470620538165843</v>
      </c>
      <c r="S34" s="18" t="n">
        <v>0.5524350362909282</v>
      </c>
    </row>
    <row r="35">
      <c r="A35" s="10" t="inlineStr">
        <is>
          <t>000333</t>
        </is>
      </c>
      <c r="B35" s="10" t="inlineStr">
        <is>
          <t>Midea</t>
        </is>
      </c>
      <c r="C35" s="10" t="inlineStr">
        <is>
          <t>China</t>
        </is>
      </c>
      <c r="D35" s="10" t="inlineStr">
        <is>
          <t>Industrials</t>
        </is>
      </c>
      <c r="E35" s="10" t="inlineStr">
        <is>
          <t>Stock</t>
        </is>
      </c>
      <c r="F35" s="20" t="inlineStr">
        <is>
          <t>Watch</t>
        </is>
      </c>
      <c r="G35" s="12" t="inlineStr">
        <is>
          <t>Trend unresolved: wait for price to reclaim both averages.</t>
        </is>
      </c>
      <c r="H35" s="13" t="n">
        <v>82.45999999999999</v>
      </c>
      <c r="I35" s="13" t="n"/>
      <c r="J35" s="13" t="n"/>
      <c r="K35" s="13" t="n"/>
      <c r="L35" s="14">
        <f>IF(K35="","",K35*(1-Policy!$B$7))</f>
        <v/>
      </c>
      <c r="M35" s="14" t="n">
        <v>84.05000000000001</v>
      </c>
      <c r="N35" s="15">
        <f>IF(L35="","",H35/L35-1)</f>
        <v/>
      </c>
      <c r="O35" s="15">
        <f>IF(AND(F35="Accumulate",N35&lt;&gt;"",N35&gt;0),MIN(Policy!$B$4/(N35+Policy!$B$12),IF(E35="Stock",Policy!$B$5,Policy!$B$6)),"")</f>
        <v/>
      </c>
      <c r="P35" s="16">
        <f>IF(O35="","",O35*Policy!$B$3*Policy!$B$2)</f>
        <v/>
      </c>
      <c r="Q35" s="17" t="n">
        <v>0.04392961134320794</v>
      </c>
      <c r="R35" s="17" t="n">
        <v>0.1322257311547439</v>
      </c>
      <c r="S35" s="18" t="n">
        <v>0.5247067911640438</v>
      </c>
    </row>
    <row r="36">
      <c r="A36" s="10" t="inlineStr">
        <is>
          <t>DBA</t>
        </is>
      </c>
      <c r="B36" s="10" t="inlineStr">
        <is>
          <t>Invesco DB Agriculture Fund</t>
        </is>
      </c>
      <c r="C36" s="10" t="inlineStr">
        <is>
          <t>Cross-asset</t>
        </is>
      </c>
      <c r="D36" s="10" t="inlineStr">
        <is>
          <t>Agriculture</t>
        </is>
      </c>
      <c r="E36" s="10" t="inlineStr">
        <is>
          <t>Fund</t>
        </is>
      </c>
      <c r="F36" s="20" t="inlineStr">
        <is>
          <t>Watch</t>
        </is>
      </c>
      <c r="G36" s="12" t="inlineStr">
        <is>
          <t>Trend unresolved: wait for price to reclaim both averages.</t>
        </is>
      </c>
      <c r="H36" s="13" t="n">
        <v>28.33</v>
      </c>
      <c r="I36" s="13" t="n"/>
      <c r="J36" s="13" t="n"/>
      <c r="K36" s="13" t="n"/>
      <c r="L36" s="14">
        <f>IF(K36="","",K36*(1-Policy!$B$7))</f>
        <v/>
      </c>
      <c r="M36" s="14" t="n">
        <v>28.391</v>
      </c>
      <c r="N36" s="15">
        <f>IF(L36="","",H36/L36-1)</f>
        <v/>
      </c>
      <c r="O36" s="15">
        <f>IF(AND(F36="Accumulate",N36&lt;&gt;"",N36&gt;0),MIN(Policy!$B$4/(N36+Policy!$B$12),IF(E36="Stock",Policy!$B$5,Policy!$B$6)),"")</f>
        <v/>
      </c>
      <c r="P36" s="16">
        <f>IF(O36="","",O36*Policy!$B$3*Policy!$B$2)</f>
        <v/>
      </c>
      <c r="Q36" s="17" t="n">
        <v>0.02016564638098672</v>
      </c>
      <c r="R36" s="17" t="n">
        <v>0.07636778115501519</v>
      </c>
      <c r="S36" s="18" t="n">
        <v>0.4800456876994691</v>
      </c>
    </row>
    <row r="37">
      <c r="A37" s="10" t="inlineStr">
        <is>
          <t>ISF</t>
        </is>
      </c>
      <c r="B37" s="10" t="inlineStr">
        <is>
          <t>iShares Core FTSE 100 UCITS ETF</t>
        </is>
      </c>
      <c r="C37" s="10" t="inlineStr">
        <is>
          <t>UK</t>
        </is>
      </c>
      <c r="D37" s="10" t="inlineStr">
        <is>
          <t>Broad market</t>
        </is>
      </c>
      <c r="E37" s="10" t="inlineStr">
        <is>
          <t>Fund</t>
        </is>
      </c>
      <c r="F37" s="20" t="inlineStr">
        <is>
          <t>Watch</t>
        </is>
      </c>
      <c r="G37" s="12" t="inlineStr">
        <is>
          <t>Trend unresolved: wait for price to reclaim both averages.</t>
        </is>
      </c>
      <c r="H37" s="13" t="n">
        <v>10.266</v>
      </c>
      <c r="I37" s="13" t="n"/>
      <c r="J37" s="13" t="n"/>
      <c r="K37" s="13" t="n"/>
      <c r="L37" s="14">
        <f>IF(K37="","",K37*(1-Policy!$B$7))</f>
        <v/>
      </c>
      <c r="M37" s="14" t="n">
        <v>10.4624</v>
      </c>
      <c r="N37" s="15">
        <f>IF(L37="","",H37/L37-1)</f>
        <v/>
      </c>
      <c r="O37" s="15">
        <f>IF(AND(F37="Accumulate",N37&lt;&gt;"",N37&gt;0),MIN(Policy!$B$4/(N37+Policy!$B$12),IF(E37="Stock",Policy!$B$5,Policy!$B$6)),"")</f>
        <v/>
      </c>
      <c r="P37" s="16">
        <f>IF(O37="","",O37*Policy!$B$3*Policy!$B$2)</f>
        <v/>
      </c>
      <c r="Q37" s="17" t="n">
        <v>0.002930832356389246</v>
      </c>
      <c r="R37" s="17" t="n">
        <v>0.1187881429816913</v>
      </c>
      <c r="S37" s="18" t="n">
        <v>0.4769318523978893</v>
      </c>
    </row>
    <row r="38">
      <c r="A38" s="10" t="inlineStr">
        <is>
          <t>S63</t>
        </is>
      </c>
      <c r="B38" s="10" t="inlineStr">
        <is>
          <t>ST Engineering</t>
        </is>
      </c>
      <c r="C38" s="10" t="inlineStr">
        <is>
          <t>SG</t>
        </is>
      </c>
      <c r="D38" s="10" t="inlineStr">
        <is>
          <t>Industrials</t>
        </is>
      </c>
      <c r="E38" s="10" t="inlineStr">
        <is>
          <t>Stock</t>
        </is>
      </c>
      <c r="F38" s="20" t="inlineStr">
        <is>
          <t>Watch</t>
        </is>
      </c>
      <c r="G38" s="12" t="inlineStr">
        <is>
          <t>Trend unresolved: wait for price to reclaim both averages.</t>
        </is>
      </c>
      <c r="H38" s="13" t="n">
        <v>10.42</v>
      </c>
      <c r="I38" s="13" t="n"/>
      <c r="J38" s="13" t="n"/>
      <c r="K38" s="13" t="n"/>
      <c r="L38" s="14">
        <f>IF(K38="","",K38*(1-Policy!$B$7))</f>
        <v/>
      </c>
      <c r="M38" s="14" t="n">
        <v>10.601</v>
      </c>
      <c r="N38" s="15">
        <f>IF(L38="","",H38/L38-1)</f>
        <v/>
      </c>
      <c r="O38" s="15">
        <f>IF(AND(F38="Accumulate",N38&lt;&gt;"",N38&gt;0),MIN(Policy!$B$4/(N38+Policy!$B$12),IF(E38="Stock",Policy!$B$5,Policy!$B$6)),"")</f>
        <v/>
      </c>
      <c r="P38" s="16">
        <f>IF(O38="","",O38*Policy!$B$3*Policy!$B$2)</f>
        <v/>
      </c>
      <c r="Q38" s="17" t="n">
        <v>-0.04927007299270081</v>
      </c>
      <c r="R38" s="17" t="n">
        <v>0.2187134502923975</v>
      </c>
      <c r="S38" s="18" t="n">
        <v>0.3281905749840447</v>
      </c>
    </row>
    <row r="39">
      <c r="A39" s="10" t="inlineStr">
        <is>
          <t>XLB</t>
        </is>
      </c>
      <c r="B39" s="10" t="inlineStr">
        <is>
          <t>Materials Select Sector ETF</t>
        </is>
      </c>
      <c r="C39" s="10" t="inlineStr">
        <is>
          <t>US</t>
        </is>
      </c>
      <c r="D39" s="10" t="inlineStr">
        <is>
          <t>Materials</t>
        </is>
      </c>
      <c r="E39" s="10" t="inlineStr">
        <is>
          <t>Fund</t>
        </is>
      </c>
      <c r="F39" s="20" t="inlineStr">
        <is>
          <t>Watch</t>
        </is>
      </c>
      <c r="G39" s="12" t="inlineStr">
        <is>
          <t>Trend unresolved: wait for price to reclaim both averages.</t>
        </is>
      </c>
      <c r="H39" s="13" t="n">
        <v>49.43</v>
      </c>
      <c r="I39" s="13" t="n"/>
      <c r="J39" s="13" t="n"/>
      <c r="K39" s="13" t="n"/>
      <c r="L39" s="14">
        <f>IF(K39="","",K39*(1-Policy!$B$7))</f>
        <v/>
      </c>
      <c r="M39" s="14" t="n">
        <v>51.359</v>
      </c>
      <c r="N39" s="15">
        <f>IF(L39="","",H39/L39-1)</f>
        <v/>
      </c>
      <c r="O39" s="15">
        <f>IF(AND(F39="Accumulate",N39&lt;&gt;"",N39&gt;0),MIN(Policy!$B$4/(N39+Policy!$B$12),IF(E39="Stock",Policy!$B$5,Policy!$B$6)),"")</f>
        <v/>
      </c>
      <c r="P39" s="16">
        <f>IF(O39="","",O39*Policy!$B$3*Policy!$B$2)</f>
        <v/>
      </c>
      <c r="Q39" s="17" t="n">
        <v>-0.02868932992729423</v>
      </c>
      <c r="R39" s="17" t="n">
        <v>0.1249431042330451</v>
      </c>
      <c r="S39" s="18" t="n">
        <v>0.2807748223396828</v>
      </c>
    </row>
    <row r="40">
      <c r="A40" s="10" t="inlineStr">
        <is>
          <t>RR.</t>
        </is>
      </c>
      <c r="B40" s="10" t="inlineStr">
        <is>
          <t>Rolls-Royce</t>
        </is>
      </c>
      <c r="C40" s="10" t="inlineStr">
        <is>
          <t>UK</t>
        </is>
      </c>
      <c r="D40" s="10" t="inlineStr">
        <is>
          <t>Aerospace</t>
        </is>
      </c>
      <c r="E40" s="10" t="inlineStr">
        <is>
          <t>Stock</t>
        </is>
      </c>
      <c r="F40" s="20" t="inlineStr">
        <is>
          <t>Watch</t>
        </is>
      </c>
      <c r="G40" s="12" t="inlineStr">
        <is>
          <t>Trend unresolved: wait for price to reclaim both averages.</t>
        </is>
      </c>
      <c r="H40" s="13" t="n">
        <v>13.844</v>
      </c>
      <c r="I40" s="13" t="n"/>
      <c r="J40" s="13" t="n"/>
      <c r="K40" s="13" t="n"/>
      <c r="L40" s="14">
        <f>IF(K40="","",K40*(1-Policy!$B$7))</f>
        <v/>
      </c>
      <c r="M40" s="14" t="n">
        <v>14.8358</v>
      </c>
      <c r="N40" s="15">
        <f>IF(L40="","",H40/L40-1)</f>
        <v/>
      </c>
      <c r="O40" s="15">
        <f>IF(AND(F40="Accumulate",N40&lt;&gt;"",N40&gt;0),MIN(Policy!$B$4/(N40+Policy!$B$12),IF(E40="Stock",Policy!$B$5,Policy!$B$6)),"")</f>
        <v/>
      </c>
      <c r="P40" s="16">
        <f>IF(O40="","",O40*Policy!$B$3*Policy!$B$2)</f>
        <v/>
      </c>
      <c r="Q40" s="17" t="n">
        <v>-0.03215883668903807</v>
      </c>
      <c r="R40" s="17" t="n">
        <v>0.2186619718309859</v>
      </c>
      <c r="S40" s="18" t="n">
        <v>0.2666235775449844</v>
      </c>
    </row>
    <row r="41">
      <c r="A41" s="10" t="inlineStr">
        <is>
          <t>LLOY</t>
        </is>
      </c>
      <c r="B41" s="10" t="inlineStr">
        <is>
          <t>Lloyds Banking Group</t>
        </is>
      </c>
      <c r="C41" s="10" t="inlineStr">
        <is>
          <t>UK</t>
        </is>
      </c>
      <c r="D41" s="10" t="inlineStr">
        <is>
          <t>Banks</t>
        </is>
      </c>
      <c r="E41" s="10" t="inlineStr">
        <is>
          <t>Stock</t>
        </is>
      </c>
      <c r="F41" s="20" t="inlineStr">
        <is>
          <t>Watch</t>
        </is>
      </c>
      <c r="G41" s="12" t="inlineStr">
        <is>
          <t>Trend unresolved: wait for price to reclaim both averages.</t>
        </is>
      </c>
      <c r="H41" s="13" t="n">
        <v>1.016</v>
      </c>
      <c r="I41" s="13" t="n"/>
      <c r="J41" s="13" t="n"/>
      <c r="K41" s="13" t="n"/>
      <c r="L41" s="14">
        <f>IF(K41="","",K41*(1-Policy!$B$7))</f>
        <v/>
      </c>
      <c r="M41" s="14" t="n">
        <v>1.09728</v>
      </c>
      <c r="N41" s="15">
        <f>IF(L41="","",H41/L41-1)</f>
        <v/>
      </c>
      <c r="O41" s="15">
        <f>IF(AND(F41="Accumulate",N41&lt;&gt;"",N41&gt;0),MIN(Policy!$B$4/(N41+Policy!$B$12),IF(E41="Stock",Policy!$B$5,Policy!$B$6)),"")</f>
        <v/>
      </c>
      <c r="P41" s="16">
        <f>IF(O41="","",O41*Policy!$B$3*Policy!$B$2)</f>
        <v/>
      </c>
      <c r="Q41" s="17" t="n">
        <v>-0.09398965578740859</v>
      </c>
      <c r="R41" s="17" t="n">
        <v>0.2229176697159365</v>
      </c>
      <c r="S41" s="18" t="n">
        <v>0.2458745545749524</v>
      </c>
    </row>
    <row r="42">
      <c r="A42" s="10" t="inlineStr">
        <is>
          <t>JPM</t>
        </is>
      </c>
      <c r="B42" s="10" t="inlineStr">
        <is>
          <t>JPMorgan</t>
        </is>
      </c>
      <c r="C42" s="10" t="inlineStr">
        <is>
          <t>US</t>
        </is>
      </c>
      <c r="D42" s="10" t="inlineStr">
        <is>
          <t>Banks</t>
        </is>
      </c>
      <c r="E42" s="10" t="inlineStr">
        <is>
          <t>Stock</t>
        </is>
      </c>
      <c r="F42" s="20" t="inlineStr">
        <is>
          <t>Watch</t>
        </is>
      </c>
      <c r="G42" s="12" t="inlineStr">
        <is>
          <t>Trend unresolved: wait for price to reclaim both averages.</t>
        </is>
      </c>
      <c r="H42" s="13" t="n">
        <v>332.99</v>
      </c>
      <c r="I42" s="13" t="n"/>
      <c r="J42" s="13" t="n"/>
      <c r="K42" s="13" t="n"/>
      <c r="L42" s="14">
        <f>IF(K42="","",K42*(1-Policy!$B$7))</f>
        <v/>
      </c>
      <c r="M42" s="14" t="n">
        <v>350.253</v>
      </c>
      <c r="N42" s="15">
        <f>IF(L42="","",H42/L42-1)</f>
        <v/>
      </c>
      <c r="O42" s="15">
        <f>IF(AND(F42="Accumulate",N42&lt;&gt;"",N42&gt;0),MIN(Policy!$B$4/(N42+Policy!$B$12),IF(E42="Stock",Policy!$B$5,Policy!$B$6)),"")</f>
        <v/>
      </c>
      <c r="P42" s="16">
        <f>IF(O42="","",O42*Policy!$B$3*Policy!$B$2)</f>
        <v/>
      </c>
      <c r="Q42" s="17" t="n">
        <v>-0.01034267542425782</v>
      </c>
      <c r="R42" s="17" t="n">
        <v>0.1066835056000532</v>
      </c>
      <c r="S42" s="18" t="n">
        <v>0.2431249814334205</v>
      </c>
    </row>
    <row r="43">
      <c r="A43" s="10" t="inlineStr">
        <is>
          <t>XLI</t>
        </is>
      </c>
      <c r="B43" s="10" t="inlineStr">
        <is>
          <t>Industrial Select Sector ETF</t>
        </is>
      </c>
      <c r="C43" s="10" t="inlineStr">
        <is>
          <t>US</t>
        </is>
      </c>
      <c r="D43" s="10" t="inlineStr">
        <is>
          <t>Industrials</t>
        </is>
      </c>
      <c r="E43" s="10" t="inlineStr">
        <is>
          <t>Fund</t>
        </is>
      </c>
      <c r="F43" s="20" t="inlineStr">
        <is>
          <t>Watch</t>
        </is>
      </c>
      <c r="G43" s="12" t="inlineStr">
        <is>
          <t>Trend unresolved: wait for price to reclaim both averages.</t>
        </is>
      </c>
      <c r="H43" s="13" t="n">
        <v>169.25</v>
      </c>
      <c r="I43" s="13" t="n"/>
      <c r="J43" s="13" t="n"/>
      <c r="K43" s="13" t="n"/>
      <c r="L43" s="14">
        <f>IF(K43="","",K43*(1-Policy!$B$7))</f>
        <v/>
      </c>
      <c r="M43" s="14" t="n">
        <v>175.61</v>
      </c>
      <c r="N43" s="15">
        <f>IF(L43="","",H43/L43-1)</f>
        <v/>
      </c>
      <c r="O43" s="15">
        <f>IF(AND(F43="Accumulate",N43&lt;&gt;"",N43&gt;0),MIN(Policy!$B$4/(N43+Policy!$B$12),IF(E43="Stock",Policy!$B$5,Policy!$B$6)),"")</f>
        <v/>
      </c>
      <c r="P43" s="16">
        <f>IF(O43="","",O43*Policy!$B$3*Policy!$B$2)</f>
        <v/>
      </c>
      <c r="Q43" s="17" t="n">
        <v>-0.06964599824098494</v>
      </c>
      <c r="R43" s="17" t="n">
        <v>0.1290860573715811</v>
      </c>
      <c r="S43" s="18" t="n">
        <v>0.2204991347520107</v>
      </c>
    </row>
    <row r="44">
      <c r="A44" s="10" t="inlineStr">
        <is>
          <t>XLF</t>
        </is>
      </c>
      <c r="B44" s="10" t="inlineStr">
        <is>
          <t>Financial Select Sector ETF</t>
        </is>
      </c>
      <c r="C44" s="10" t="inlineStr">
        <is>
          <t>US</t>
        </is>
      </c>
      <c r="D44" s="10" t="inlineStr">
        <is>
          <t>Financials</t>
        </is>
      </c>
      <c r="E44" s="10" t="inlineStr">
        <is>
          <t>Fund</t>
        </is>
      </c>
      <c r="F44" s="20" t="inlineStr">
        <is>
          <t>Watch</t>
        </is>
      </c>
      <c r="G44" s="12" t="inlineStr">
        <is>
          <t>Trend unresolved: wait for price to reclaim both averages.</t>
        </is>
      </c>
      <c r="H44" s="13" t="n">
        <v>54.73</v>
      </c>
      <c r="I44" s="13" t="n"/>
      <c r="J44" s="13" t="n"/>
      <c r="K44" s="13" t="n"/>
      <c r="L44" s="14">
        <f>IF(K44="","",K44*(1-Policy!$B$7))</f>
        <v/>
      </c>
      <c r="M44" s="14" t="n">
        <v>56.561</v>
      </c>
      <c r="N44" s="15">
        <f>IF(L44="","",H44/L44-1)</f>
        <v/>
      </c>
      <c r="O44" s="15">
        <f>IF(AND(F44="Accumulate",N44&lt;&gt;"",N44&gt;0),MIN(Policy!$B$4/(N44+Policy!$B$12),IF(E44="Stock",Policy!$B$5,Policy!$B$6)),"")</f>
        <v/>
      </c>
      <c r="P44" s="16">
        <f>IF(O44="","",O44*Policy!$B$3*Policy!$B$2)</f>
        <v/>
      </c>
      <c r="Q44" s="17" t="n">
        <v>-0.01759109675103221</v>
      </c>
      <c r="R44" s="17" t="n">
        <v>0.04927147239263796</v>
      </c>
      <c r="S44" s="18" t="n">
        <v>0.1153366680765625</v>
      </c>
    </row>
    <row r="45">
      <c r="A45" s="10" t="inlineStr">
        <is>
          <t>U11</t>
        </is>
      </c>
      <c r="B45" s="10" t="inlineStr">
        <is>
          <t>UOB</t>
        </is>
      </c>
      <c r="C45" s="10" t="inlineStr">
        <is>
          <t>SG</t>
        </is>
      </c>
      <c r="D45" s="10" t="inlineStr">
        <is>
          <t>Banks</t>
        </is>
      </c>
      <c r="E45" s="10" t="inlineStr">
        <is>
          <t>Stock</t>
        </is>
      </c>
      <c r="F45" s="20" t="inlineStr">
        <is>
          <t>Watch</t>
        </is>
      </c>
      <c r="G45" s="12" t="inlineStr">
        <is>
          <t>Trend unresolved: wait for price to reclaim both averages.</t>
        </is>
      </c>
      <c r="H45" s="13" t="n">
        <v>39.96</v>
      </c>
      <c r="I45" s="13" t="n"/>
      <c r="J45" s="13" t="n"/>
      <c r="K45" s="13" t="n"/>
      <c r="L45" s="14">
        <f>IF(K45="","",K45*(1-Policy!$B$7))</f>
        <v/>
      </c>
      <c r="M45" s="14" t="n">
        <v>41.70999999999999</v>
      </c>
      <c r="N45" s="15">
        <f>IF(L45="","",H45/L45-1)</f>
        <v/>
      </c>
      <c r="O45" s="15">
        <f>IF(AND(F45="Accumulate",N45&lt;&gt;"",N45&gt;0),MIN(Policy!$B$4/(N45+Policy!$B$12),IF(E45="Stock",Policy!$B$5,Policy!$B$6)),"")</f>
        <v/>
      </c>
      <c r="P45" s="16">
        <f>IF(O45="","",O45*Policy!$B$3*Policy!$B$2)</f>
        <v/>
      </c>
      <c r="Q45" s="17" t="n">
        <v>-0.09959441189725105</v>
      </c>
      <c r="R45" s="17" t="n">
        <v>0.1310500990659498</v>
      </c>
      <c r="S45" s="18" t="n">
        <v>0.07908918426606694</v>
      </c>
    </row>
    <row r="46">
      <c r="A46" s="10" t="inlineStr">
        <is>
          <t>AVGO</t>
        </is>
      </c>
      <c r="B46" s="10" t="inlineStr">
        <is>
          <t>Broadcom</t>
        </is>
      </c>
      <c r="C46" s="10" t="inlineStr">
        <is>
          <t>US</t>
        </is>
      </c>
      <c r="D46" s="10" t="inlineStr">
        <is>
          <t>Semiconductors</t>
        </is>
      </c>
      <c r="E46" s="10" t="inlineStr">
        <is>
          <t>Stock</t>
        </is>
      </c>
      <c r="F46" s="20" t="inlineStr">
        <is>
          <t>Watch</t>
        </is>
      </c>
      <c r="G46" s="12" t="inlineStr">
        <is>
          <t>Trend unresolved: wait for price to reclaim both averages.</t>
        </is>
      </c>
      <c r="H46" s="13" t="n">
        <v>361.54</v>
      </c>
      <c r="I46" s="13" t="n"/>
      <c r="J46" s="13" t="n"/>
      <c r="K46" s="13" t="n"/>
      <c r="L46" s="14">
        <f>IF(K46="","",K46*(1-Policy!$B$7))</f>
        <v/>
      </c>
      <c r="M46" s="14" t="n">
        <v>370.497</v>
      </c>
      <c r="N46" s="15">
        <f>IF(L46="","",H46/L46-1)</f>
        <v/>
      </c>
      <c r="O46" s="15">
        <f>IF(AND(F46="Accumulate",N46&lt;&gt;"",N46&gt;0),MIN(Policy!$B$4/(N46+Policy!$B$12),IF(E46="Stock",Policy!$B$5,Policy!$B$6)),"")</f>
        <v/>
      </c>
      <c r="P46" s="16">
        <f>IF(O46="","",O46*Policy!$B$3*Policy!$B$2)</f>
        <v/>
      </c>
      <c r="Q46" s="17" t="n">
        <v>-0.09608220616546237</v>
      </c>
      <c r="R46" s="17" t="n">
        <v>0.113698672334658</v>
      </c>
      <c r="S46" s="18" t="n">
        <v>0.01934478924596591</v>
      </c>
    </row>
    <row r="47">
      <c r="A47" s="10" t="inlineStr">
        <is>
          <t>BARC</t>
        </is>
      </c>
      <c r="B47" s="10" t="inlineStr">
        <is>
          <t>Barclays</t>
        </is>
      </c>
      <c r="C47" s="10" t="inlineStr">
        <is>
          <t>UK</t>
        </is>
      </c>
      <c r="D47" s="10" t="inlineStr">
        <is>
          <t>Banks</t>
        </is>
      </c>
      <c r="E47" s="10" t="inlineStr">
        <is>
          <t>Stock</t>
        </is>
      </c>
      <c r="F47" s="20" t="inlineStr">
        <is>
          <t>Watch</t>
        </is>
      </c>
      <c r="G47" s="12" t="inlineStr">
        <is>
          <t>Trend unresolved: wait for price to reclaim both averages.</t>
        </is>
      </c>
      <c r="H47" s="13" t="n">
        <v>4.303</v>
      </c>
      <c r="I47" s="13" t="n"/>
      <c r="J47" s="13" t="n"/>
      <c r="K47" s="13" t="n"/>
      <c r="L47" s="14">
        <f>IF(K47="","",K47*(1-Policy!$B$7))</f>
        <v/>
      </c>
      <c r="M47" s="14" t="n">
        <v>4.81488</v>
      </c>
      <c r="N47" s="15">
        <f>IF(L47="","",H47/L47-1)</f>
        <v/>
      </c>
      <c r="O47" s="15">
        <f>IF(AND(F47="Accumulate",N47&lt;&gt;"",N47&gt;0),MIN(Policy!$B$4/(N47+Policy!$B$12),IF(E47="Stock",Policy!$B$5,Policy!$B$6)),"")</f>
        <v/>
      </c>
      <c r="P47" s="16">
        <f>IF(O47="","",O47*Policy!$B$3*Policy!$B$2)</f>
        <v/>
      </c>
      <c r="Q47" s="17" t="n">
        <v>-0.1605540382364418</v>
      </c>
      <c r="R47" s="17" t="n">
        <v>0.1550437536908789</v>
      </c>
      <c r="S47" s="18" t="n">
        <v>-0.009312163286805524</v>
      </c>
    </row>
    <row r="48">
      <c r="A48" s="10" t="inlineStr">
        <is>
          <t>UNG</t>
        </is>
      </c>
      <c r="B48" s="10" t="inlineStr">
        <is>
          <t>US Natural Gas Fund</t>
        </is>
      </c>
      <c r="C48" s="10" t="inlineStr">
        <is>
          <t>Cross-asset</t>
        </is>
      </c>
      <c r="D48" s="10" t="inlineStr">
        <is>
          <t>Natural gas</t>
        </is>
      </c>
      <c r="E48" s="10" t="inlineStr">
        <is>
          <t>Fund</t>
        </is>
      </c>
      <c r="F48" s="20" t="inlineStr">
        <is>
          <t>Watch</t>
        </is>
      </c>
      <c r="G48" s="12" t="inlineStr">
        <is>
          <t>Trend unresolved: wait for price to reclaim both averages.</t>
        </is>
      </c>
      <c r="H48" s="13" t="n">
        <v>11.01</v>
      </c>
      <c r="I48" s="13" t="n"/>
      <c r="J48" s="13" t="n"/>
      <c r="K48" s="13" t="n"/>
      <c r="L48" s="14">
        <f>IF(K48="","",K48*(1-Policy!$B$7))</f>
        <v/>
      </c>
      <c r="M48" s="14" t="n">
        <v>11.33275</v>
      </c>
      <c r="N48" s="15">
        <f>IF(L48="","",H48/L48-1)</f>
        <v/>
      </c>
      <c r="O48" s="15">
        <f>IF(AND(F48="Accumulate",N48&lt;&gt;"",N48&gt;0),MIN(Policy!$B$4/(N48+Policy!$B$12),IF(E48="Stock",Policy!$B$5,Policy!$B$6)),"")</f>
        <v/>
      </c>
      <c r="P48" s="16">
        <f>IF(O48="","",O48*Policy!$B$3*Policy!$B$2)</f>
        <v/>
      </c>
      <c r="Q48" s="17" t="n">
        <v>0.03867924528301891</v>
      </c>
      <c r="R48" s="17" t="n">
        <v>-0.1070559610705596</v>
      </c>
      <c r="S48" s="18" t="n">
        <v>-0.05406228751228608</v>
      </c>
    </row>
    <row r="49">
      <c r="A49" s="10" t="inlineStr">
        <is>
          <t>LSEG</t>
        </is>
      </c>
      <c r="B49" s="10" t="inlineStr">
        <is>
          <t>London Stock Exchange Group</t>
        </is>
      </c>
      <c r="C49" s="10" t="inlineStr">
        <is>
          <t>UK</t>
        </is>
      </c>
      <c r="D49" s="10" t="inlineStr">
        <is>
          <t>Market infrastructure</t>
        </is>
      </c>
      <c r="E49" s="10" t="inlineStr">
        <is>
          <t>Stock</t>
        </is>
      </c>
      <c r="F49" s="20" t="inlineStr">
        <is>
          <t>Watch</t>
        </is>
      </c>
      <c r="G49" s="12" t="inlineStr">
        <is>
          <t>Trend unresolved: wait for price to reclaim both averages.</t>
        </is>
      </c>
      <c r="H49" s="13" t="n">
        <v>86.84</v>
      </c>
      <c r="I49" s="13" t="n"/>
      <c r="J49" s="13" t="n"/>
      <c r="K49" s="13" t="n"/>
      <c r="L49" s="14">
        <f>IF(K49="","",K49*(1-Policy!$B$7))</f>
        <v/>
      </c>
      <c r="M49" s="14" t="n">
        <v>87.236</v>
      </c>
      <c r="N49" s="15">
        <f>IF(L49="","",H49/L49-1)</f>
        <v/>
      </c>
      <c r="O49" s="15">
        <f>IF(AND(F49="Accumulate",N49&lt;&gt;"",N49&gt;0),MIN(Policy!$B$4/(N49+Policy!$B$12),IF(E49="Stock",Policy!$B$5,Policy!$B$6)),"")</f>
        <v/>
      </c>
      <c r="P49" s="16">
        <f>IF(O49="","",O49*Policy!$B$3*Policy!$B$2)</f>
        <v/>
      </c>
      <c r="Q49" s="17" t="n">
        <v>-0.02339181286549707</v>
      </c>
      <c r="R49" s="17" t="n">
        <v>-0.01541950113378687</v>
      </c>
      <c r="S49" s="18" t="n">
        <v>-0.055426995071268</v>
      </c>
    </row>
    <row r="50">
      <c r="A50" s="10" t="inlineStr">
        <is>
          <t>823</t>
        </is>
      </c>
      <c r="B50" s="10" t="inlineStr">
        <is>
          <t>Link REIT</t>
        </is>
      </c>
      <c r="C50" s="10" t="inlineStr">
        <is>
          <t>HK</t>
        </is>
      </c>
      <c r="D50" s="10" t="inlineStr">
        <is>
          <t>Property</t>
        </is>
      </c>
      <c r="E50" s="10" t="inlineStr">
        <is>
          <t>Stock</t>
        </is>
      </c>
      <c r="F50" s="20" t="inlineStr">
        <is>
          <t>Watch</t>
        </is>
      </c>
      <c r="G50" s="12" t="inlineStr">
        <is>
          <t>Trend unresolved: wait for price to reclaim both averages.</t>
        </is>
      </c>
      <c r="H50" s="13" t="n">
        <v>37.32</v>
      </c>
      <c r="I50" s="13" t="n"/>
      <c r="J50" s="13" t="n"/>
      <c r="K50" s="13" t="n"/>
      <c r="L50" s="14">
        <f>IF(K50="","",K50*(1-Policy!$B$7))</f>
        <v/>
      </c>
      <c r="M50" s="14" t="n">
        <v>38.088</v>
      </c>
      <c r="N50" s="15">
        <f>IF(L50="","",H50/L50-1)</f>
        <v/>
      </c>
      <c r="O50" s="15">
        <f>IF(AND(F50="Accumulate",N50&lt;&gt;"",N50&gt;0),MIN(Policy!$B$4/(N50+Policy!$B$12),IF(E50="Stock",Policy!$B$5,Policy!$B$6)),"")</f>
        <v/>
      </c>
      <c r="P50" s="16">
        <f>IF(O50="","",O50*Policy!$B$3*Policy!$B$2)</f>
        <v/>
      </c>
      <c r="Q50" s="17" t="n">
        <v>-0.003205128205128083</v>
      </c>
      <c r="R50" s="17" t="n">
        <v>-0.08663729809104259</v>
      </c>
      <c r="S50" s="18" t="n">
        <v>-0.18924845217083</v>
      </c>
    </row>
    <row r="51">
      <c r="A51" s="10" t="inlineStr">
        <is>
          <t>AZN</t>
        </is>
      </c>
      <c r="B51" s="10" t="inlineStr">
        <is>
          <t>AstraZeneca</t>
        </is>
      </c>
      <c r="C51" s="10" t="inlineStr">
        <is>
          <t>UK</t>
        </is>
      </c>
      <c r="D51" s="10" t="inlineStr">
        <is>
          <t>Healthcare</t>
        </is>
      </c>
      <c r="E51" s="10" t="inlineStr">
        <is>
          <t>Stock</t>
        </is>
      </c>
      <c r="F51" s="20" t="inlineStr">
        <is>
          <t>Watch</t>
        </is>
      </c>
      <c r="G51" s="12" t="inlineStr">
        <is>
          <t>Trend unresolved: wait for price to reclaim both averages.</t>
        </is>
      </c>
      <c r="H51" s="13" t="n">
        <v>120.24</v>
      </c>
      <c r="I51" s="13" t="n"/>
      <c r="J51" s="13" t="n"/>
      <c r="K51" s="13" t="n"/>
      <c r="L51" s="14">
        <f>IF(K51="","",K51*(1-Policy!$B$7))</f>
        <v/>
      </c>
      <c r="M51" s="14" t="n">
        <v>135.0835</v>
      </c>
      <c r="N51" s="15">
        <f>IF(L51="","",H51/L51-1)</f>
        <v/>
      </c>
      <c r="O51" s="15">
        <f>IF(AND(F51="Accumulate",N51&lt;&gt;"",N51&gt;0),MIN(Policy!$B$4/(N51+Policy!$B$12),IF(E51="Stock",Policy!$B$5,Policy!$B$6)),"")</f>
        <v/>
      </c>
      <c r="P51" s="16">
        <f>IF(O51="","",O51*Policy!$B$3*Policy!$B$2)</f>
        <v/>
      </c>
      <c r="Q51" s="17" t="n">
        <v>-0.06877323420074355</v>
      </c>
      <c r="R51" s="17" t="n">
        <v>-0.05768025078369909</v>
      </c>
      <c r="S51" s="18" t="n">
        <v>-0.2340102970015785</v>
      </c>
    </row>
    <row r="52">
      <c r="A52" s="10" t="inlineStr">
        <is>
          <t>C2PU</t>
        </is>
      </c>
      <c r="B52" s="10" t="inlineStr">
        <is>
          <t>Parkway Life REIT</t>
        </is>
      </c>
      <c r="C52" s="10" t="inlineStr">
        <is>
          <t>SG</t>
        </is>
      </c>
      <c r="D52" s="10" t="inlineStr">
        <is>
          <t>Healthcare REIT</t>
        </is>
      </c>
      <c r="E52" s="10" t="inlineStr">
        <is>
          <t>Stock</t>
        </is>
      </c>
      <c r="F52" s="20" t="inlineStr">
        <is>
          <t>Watch</t>
        </is>
      </c>
      <c r="G52" s="12" t="inlineStr">
        <is>
          <t>Trend unresolved: wait for price to reclaim both averages.</t>
        </is>
      </c>
      <c r="H52" s="13" t="n">
        <v>3.98</v>
      </c>
      <c r="I52" s="13" t="n"/>
      <c r="J52" s="13" t="n"/>
      <c r="K52" s="13" t="n"/>
      <c r="L52" s="14">
        <f>IF(K52="","",K52*(1-Policy!$B$7))</f>
        <v/>
      </c>
      <c r="M52" s="14" t="n">
        <v>4.074</v>
      </c>
      <c r="N52" s="15">
        <f>IF(L52="","",H52/L52-1)</f>
        <v/>
      </c>
      <c r="O52" s="15">
        <f>IF(AND(F52="Accumulate",N52&lt;&gt;"",N52&gt;0),MIN(Policy!$B$4/(N52+Policy!$B$12),IF(E52="Stock",Policy!$B$5,Policy!$B$6)),"")</f>
        <v/>
      </c>
      <c r="P52" s="16">
        <f>IF(O52="","",O52*Policy!$B$3*Policy!$B$2)</f>
        <v/>
      </c>
      <c r="Q52" s="17" t="n">
        <v>-0.03163017031630178</v>
      </c>
      <c r="R52" s="17" t="n">
        <v>-0.03864734299516903</v>
      </c>
      <c r="S52" s="18" t="n">
        <v>-0.4365604884384661</v>
      </c>
    </row>
    <row r="53">
      <c r="A53" s="10" t="inlineStr">
        <is>
          <t>XLP</t>
        </is>
      </c>
      <c r="B53" s="10" t="inlineStr">
        <is>
          <t>Consumer Staples Select ETF</t>
        </is>
      </c>
      <c r="C53" s="10" t="inlineStr">
        <is>
          <t>US</t>
        </is>
      </c>
      <c r="D53" s="10" t="inlineStr">
        <is>
          <t>Consumer staples</t>
        </is>
      </c>
      <c r="E53" s="10" t="inlineStr">
        <is>
          <t>Fund</t>
        </is>
      </c>
      <c r="F53" s="21" t="inlineStr">
        <is>
          <t>Avoid</t>
        </is>
      </c>
      <c r="G53" s="12" t="inlineStr">
        <is>
          <t>Price below 10- and 40-week averages (down-trend): no new money until trend repairs.</t>
        </is>
      </c>
      <c r="H53" s="13" t="n">
        <v>83.43000000000001</v>
      </c>
      <c r="I53" s="13" t="n"/>
      <c r="J53" s="13" t="n"/>
      <c r="K53" s="13" t="n"/>
      <c r="L53" s="14">
        <f>IF(K53="","",K53*(1-Policy!$B$7))</f>
        <v/>
      </c>
      <c r="M53" s="14" t="n">
        <v>84.18875</v>
      </c>
      <c r="N53" s="15">
        <f>IF(L53="","",H53/L53-1)</f>
        <v/>
      </c>
      <c r="O53" s="15">
        <f>IF(AND(F53="Accumulate",N53&lt;&gt;"",N53&gt;0),MIN(Policy!$B$4/(N53+Policy!$B$12),IF(E53="Stock",Policy!$B$5,Policy!$B$6)),"")</f>
        <v/>
      </c>
      <c r="P53" s="16">
        <f>IF(O53="","",O53*Policy!$B$3*Policy!$B$2)</f>
        <v/>
      </c>
      <c r="Q53" s="17" t="n">
        <v>-0.008202567760342339</v>
      </c>
      <c r="R53" s="17" t="n">
        <v>0.06824583866837397</v>
      </c>
      <c r="S53" s="18" t="n">
        <v>0.2207798014318152</v>
      </c>
    </row>
    <row r="54">
      <c r="A54" s="10" t="inlineStr">
        <is>
          <t>SLV</t>
        </is>
      </c>
      <c r="B54" s="10" t="inlineStr">
        <is>
          <t>iShares Silver Trust</t>
        </is>
      </c>
      <c r="C54" s="10" t="inlineStr">
        <is>
          <t>Cross-asset</t>
        </is>
      </c>
      <c r="D54" s="10" t="inlineStr">
        <is>
          <t>Silver</t>
        </is>
      </c>
      <c r="E54" s="10" t="inlineStr">
        <is>
          <t>Fund</t>
        </is>
      </c>
      <c r="F54" s="21" t="inlineStr">
        <is>
          <t>Avoid</t>
        </is>
      </c>
      <c r="G54" s="12" t="inlineStr">
        <is>
          <t>Price below 10- and 40-week averages (down-trend): no new money until trend repairs.</t>
        </is>
      </c>
      <c r="H54" s="13" t="n">
        <v>54.78</v>
      </c>
      <c r="I54" s="13" t="n"/>
      <c r="J54" s="13" t="n"/>
      <c r="K54" s="13" t="n"/>
      <c r="L54" s="14">
        <f>IF(K54="","",K54*(1-Policy!$B$7))</f>
        <v/>
      </c>
      <c r="M54" s="14" t="n">
        <v>65.14449999999999</v>
      </c>
      <c r="N54" s="15">
        <f>IF(L54="","",H54/L54-1)</f>
        <v/>
      </c>
      <c r="O54" s="15">
        <f>IF(AND(F54="Accumulate",N54&lt;&gt;"",N54&gt;0),MIN(Policy!$B$4/(N54+Policy!$B$12),IF(E54="Stock",Policy!$B$5,Policy!$B$6)),"")</f>
        <v/>
      </c>
      <c r="P54" s="16">
        <f>IF(O54="","",O54*Policy!$B$3*Policy!$B$2)</f>
        <v/>
      </c>
      <c r="Q54" s="17" t="n">
        <v>0.01538461538461533</v>
      </c>
      <c r="R54" s="17" t="n">
        <v>0.2058111380145278</v>
      </c>
      <c r="S54" s="18" t="n">
        <v>0.20654356179894</v>
      </c>
    </row>
    <row r="55">
      <c r="A55" s="10" t="inlineStr">
        <is>
          <t>GLD</t>
        </is>
      </c>
      <c r="B55" s="10" t="inlineStr">
        <is>
          <t>SPDR Gold Shares</t>
        </is>
      </c>
      <c r="C55" s="10" t="inlineStr">
        <is>
          <t>Cross-asset</t>
        </is>
      </c>
      <c r="D55" s="10" t="inlineStr">
        <is>
          <t>Gold</t>
        </is>
      </c>
      <c r="E55" s="10" t="inlineStr">
        <is>
          <t>Fund</t>
        </is>
      </c>
      <c r="F55" s="21" t="inlineStr">
        <is>
          <t>Avoid</t>
        </is>
      </c>
      <c r="G55" s="12" t="inlineStr">
        <is>
          <t>Price below 10- and 40-week averages (down-trend): no new money until trend repairs.</t>
        </is>
      </c>
      <c r="H55" s="13" t="n">
        <v>384.58</v>
      </c>
      <c r="I55" s="13" t="n"/>
      <c r="J55" s="13" t="n"/>
      <c r="K55" s="13" t="n"/>
      <c r="L55" s="14">
        <f>IF(K55="","",K55*(1-Policy!$B$7))</f>
        <v/>
      </c>
      <c r="M55" s="14" t="n">
        <v>415.75125</v>
      </c>
      <c r="N55" s="15">
        <f>IF(L55="","",H55/L55-1)</f>
        <v/>
      </c>
      <c r="O55" s="15">
        <f>IF(AND(F55="Accumulate",N55&lt;&gt;"",N55&gt;0),MIN(Policy!$B$4/(N55+Policy!$B$12),IF(E55="Stock",Policy!$B$5,Policy!$B$6)),"")</f>
        <v/>
      </c>
      <c r="P55" s="16">
        <f>IF(O55="","",O55*Policy!$B$3*Policy!$B$2)</f>
        <v/>
      </c>
      <c r="Q55" s="17" t="n">
        <v>0.020079042996207</v>
      </c>
      <c r="R55" s="17" t="n">
        <v>0.04188339835283905</v>
      </c>
      <c r="S55" s="18" t="n">
        <v>0.1285841439342434</v>
      </c>
    </row>
    <row r="56">
      <c r="A56" s="10" t="inlineStr">
        <is>
          <t>601318</t>
        </is>
      </c>
      <c r="B56" s="10" t="inlineStr">
        <is>
          <t>Ping An A</t>
        </is>
      </c>
      <c r="C56" s="10" t="inlineStr">
        <is>
          <t>China</t>
        </is>
      </c>
      <c r="D56" s="10" t="inlineStr">
        <is>
          <t>Insurance</t>
        </is>
      </c>
      <c r="E56" s="10" t="inlineStr">
        <is>
          <t>Stock</t>
        </is>
      </c>
      <c r="F56" s="21" t="inlineStr">
        <is>
          <t>Avoid</t>
        </is>
      </c>
      <c r="G56" s="12" t="inlineStr">
        <is>
          <t>Price below 10- and 40-week averages (down-trend): no new money until trend repairs.</t>
        </is>
      </c>
      <c r="H56" s="13" t="n">
        <v>52.83</v>
      </c>
      <c r="I56" s="13" t="n"/>
      <c r="J56" s="13" t="n"/>
      <c r="K56" s="13" t="n"/>
      <c r="L56" s="14">
        <f>IF(K56="","",K56*(1-Policy!$B$7))</f>
        <v/>
      </c>
      <c r="M56" s="14" t="n">
        <v>57.16275</v>
      </c>
      <c r="N56" s="15">
        <f>IF(L56="","",H56/L56-1)</f>
        <v/>
      </c>
      <c r="O56" s="15">
        <f>IF(AND(F56="Accumulate",N56&lt;&gt;"",N56&gt;0),MIN(Policy!$B$4/(N56+Policy!$B$12),IF(E56="Stock",Policy!$B$5,Policy!$B$6)),"")</f>
        <v/>
      </c>
      <c r="P56" s="16">
        <f>IF(O56="","",O56*Policy!$B$3*Policy!$B$2)</f>
        <v/>
      </c>
      <c r="Q56" s="17" t="n">
        <v>0.06770412287793048</v>
      </c>
      <c r="R56" s="17" t="n">
        <v>-0.04879366222542314</v>
      </c>
      <c r="S56" s="18" t="n">
        <v>0.03748500533108375</v>
      </c>
    </row>
    <row r="57">
      <c r="A57" s="10" t="inlineStr">
        <is>
          <t>GSK</t>
        </is>
      </c>
      <c r="B57" s="10" t="inlineStr">
        <is>
          <t>GSK</t>
        </is>
      </c>
      <c r="C57" s="10" t="inlineStr">
        <is>
          <t>UK</t>
        </is>
      </c>
      <c r="D57" s="10" t="inlineStr">
        <is>
          <t>Healthcare</t>
        </is>
      </c>
      <c r="E57" s="10" t="inlineStr">
        <is>
          <t>Stock</t>
        </is>
      </c>
      <c r="F57" s="21" t="inlineStr">
        <is>
          <t>Avoid</t>
        </is>
      </c>
      <c r="G57" s="12" t="inlineStr">
        <is>
          <t>Price below 10- and 40-week averages (down-trend): no new money until trend repairs.</t>
        </is>
      </c>
      <c r="H57" s="13" t="n">
        <v>17.544</v>
      </c>
      <c r="I57" s="13" t="n"/>
      <c r="J57" s="13" t="n"/>
      <c r="K57" s="13" t="n"/>
      <c r="L57" s="14">
        <f>IF(K57="","",K57*(1-Policy!$B$7))</f>
        <v/>
      </c>
      <c r="M57" s="14" t="n">
        <v>19.51085</v>
      </c>
      <c r="N57" s="15">
        <f>IF(L57="","",H57/L57-1)</f>
        <v/>
      </c>
      <c r="O57" s="15">
        <f>IF(AND(F57="Accumulate",N57&lt;&gt;"",N57&gt;0),MIN(Policy!$B$4/(N57+Policy!$B$12),IF(E57="Stock",Policy!$B$5,Policy!$B$6)),"")</f>
        <v/>
      </c>
      <c r="P57" s="16">
        <f>IF(O57="","",O57*Policy!$B$3*Policy!$B$2)</f>
        <v/>
      </c>
      <c r="Q57" s="17" t="n">
        <v>-0.1046238644483005</v>
      </c>
      <c r="R57" s="17" t="n">
        <v>0.07936507936507931</v>
      </c>
      <c r="S57" s="18" t="n">
        <v>-0.04253520545705625</v>
      </c>
    </row>
    <row r="58">
      <c r="A58" s="10" t="inlineStr">
        <is>
          <t>NG.</t>
        </is>
      </c>
      <c r="B58" s="10" t="inlineStr">
        <is>
          <t>National Grid</t>
        </is>
      </c>
      <c r="C58" s="10" t="inlineStr">
        <is>
          <t>UK</t>
        </is>
      </c>
      <c r="D58" s="10" t="inlineStr">
        <is>
          <t>Utilities</t>
        </is>
      </c>
      <c r="E58" s="10" t="inlineStr">
        <is>
          <t>Stock</t>
        </is>
      </c>
      <c r="F58" s="21" t="inlineStr">
        <is>
          <t>Avoid</t>
        </is>
      </c>
      <c r="G58" s="12" t="inlineStr">
        <is>
          <t>Price below 10- and 40-week averages (down-trend): no new money until trend repairs.</t>
        </is>
      </c>
      <c r="H58" s="13" t="n">
        <v>11.48</v>
      </c>
      <c r="I58" s="13" t="n"/>
      <c r="J58" s="13" t="n"/>
      <c r="K58" s="13" t="n"/>
      <c r="L58" s="14">
        <f>IF(K58="","",K58*(1-Policy!$B$7))</f>
        <v/>
      </c>
      <c r="M58" s="14" t="n">
        <v>12.3777</v>
      </c>
      <c r="N58" s="15">
        <f>IF(L58="","",H58/L58-1)</f>
        <v/>
      </c>
      <c r="O58" s="15">
        <f>IF(AND(F58="Accumulate",N58&lt;&gt;"",N58&gt;0),MIN(Policy!$B$4/(N58+Policy!$B$12),IF(E58="Stock",Policy!$B$5,Policy!$B$6)),"")</f>
        <v/>
      </c>
      <c r="P58" s="16">
        <f>IF(O58="","",O58*Policy!$B$3*Policy!$B$2)</f>
        <v/>
      </c>
      <c r="Q58" s="17" t="n">
        <v>-0.06590724165988604</v>
      </c>
      <c r="R58" s="17" t="n">
        <v>0.03947844983701554</v>
      </c>
      <c r="S58" s="18" t="n">
        <v>-0.05620983480349937</v>
      </c>
    </row>
    <row r="59">
      <c r="A59" s="10" t="inlineStr">
        <is>
          <t>BA.</t>
        </is>
      </c>
      <c r="B59" s="10" t="inlineStr">
        <is>
          <t>BAE Systems</t>
        </is>
      </c>
      <c r="C59" s="10" t="inlineStr">
        <is>
          <t>UK</t>
        </is>
      </c>
      <c r="D59" s="10" t="inlineStr">
        <is>
          <t>Defence</t>
        </is>
      </c>
      <c r="E59" s="10" t="inlineStr">
        <is>
          <t>Stock</t>
        </is>
      </c>
      <c r="F59" s="21" t="inlineStr">
        <is>
          <t>Avoid</t>
        </is>
      </c>
      <c r="G59" s="12" t="inlineStr">
        <is>
          <t>Price below 10- and 40-week averages (down-trend): no new money until trend repairs.</t>
        </is>
      </c>
      <c r="H59" s="13" t="n">
        <v>18.574</v>
      </c>
      <c r="I59" s="13" t="n"/>
      <c r="J59" s="13" t="n"/>
      <c r="K59" s="13" t="n"/>
      <c r="L59" s="14">
        <f>IF(K59="","",K59*(1-Policy!$B$7))</f>
        <v/>
      </c>
      <c r="M59" s="14" t="n">
        <v>20.3037</v>
      </c>
      <c r="N59" s="15">
        <f>IF(L59="","",H59/L59-1)</f>
        <v/>
      </c>
      <c r="O59" s="15">
        <f>IF(AND(F59="Accumulate",N59&lt;&gt;"",N59&gt;0),MIN(Policy!$B$4/(N59+Policy!$B$12),IF(E59="Stock",Policy!$B$5,Policy!$B$6)),"")</f>
        <v/>
      </c>
      <c r="P59" s="16">
        <f>IF(O59="","",O59*Policy!$B$3*Policy!$B$2)</f>
        <v/>
      </c>
      <c r="Q59" s="17" t="n">
        <v>0.003457590491626084</v>
      </c>
      <c r="R59" s="17" t="n">
        <v>-0.06569416498993952</v>
      </c>
      <c r="S59" s="18" t="n">
        <v>-0.07931671839811121</v>
      </c>
    </row>
    <row r="60">
      <c r="A60" s="10" t="inlineStr">
        <is>
          <t>1299</t>
        </is>
      </c>
      <c r="B60" s="10" t="inlineStr">
        <is>
          <t>AIA</t>
        </is>
      </c>
      <c r="C60" s="10" t="inlineStr">
        <is>
          <t>HK</t>
        </is>
      </c>
      <c r="D60" s="10" t="inlineStr">
        <is>
          <t>Insurance</t>
        </is>
      </c>
      <c r="E60" s="10" t="inlineStr">
        <is>
          <t>Stock</t>
        </is>
      </c>
      <c r="F60" s="21" t="inlineStr">
        <is>
          <t>Avoid</t>
        </is>
      </c>
      <c r="G60" s="12" t="inlineStr">
        <is>
          <t>Price below 10- and 40-week averages (down-trend): no new money until trend repairs.</t>
        </is>
      </c>
      <c r="H60" s="13" t="n">
        <v>71.26000000000001</v>
      </c>
      <c r="I60" s="13" t="n"/>
      <c r="J60" s="13" t="n"/>
      <c r="K60" s="13" t="n"/>
      <c r="L60" s="14">
        <f>IF(K60="","",K60*(1-Policy!$B$7))</f>
        <v/>
      </c>
      <c r="M60" s="14" t="n">
        <v>79.79799999999999</v>
      </c>
      <c r="N60" s="15">
        <f>IF(L60="","",H60/L60-1)</f>
        <v/>
      </c>
      <c r="O60" s="15">
        <f>IF(AND(F60="Accumulate",N60&lt;&gt;"",N60&gt;0),MIN(Policy!$B$4/(N60+Policy!$B$12),IF(E60="Stock",Policy!$B$5,Policy!$B$6)),"")</f>
        <v/>
      </c>
      <c r="P60" s="16">
        <f>IF(O60="","",O60*Policy!$B$3*Policy!$B$2)</f>
        <v/>
      </c>
      <c r="Q60" s="17" t="n">
        <v>-0.01926782273603067</v>
      </c>
      <c r="R60" s="17" t="n">
        <v>-0.03572395128552097</v>
      </c>
      <c r="S60" s="18" t="n">
        <v>-0.08811317475989926</v>
      </c>
    </row>
    <row r="61">
      <c r="A61" s="10" t="inlineStr">
        <is>
          <t>Z74</t>
        </is>
      </c>
      <c r="B61" s="10" t="inlineStr">
        <is>
          <t>Singtel</t>
        </is>
      </c>
      <c r="C61" s="10" t="inlineStr">
        <is>
          <t>SG</t>
        </is>
      </c>
      <c r="D61" s="10" t="inlineStr">
        <is>
          <t>Telecom</t>
        </is>
      </c>
      <c r="E61" s="10" t="inlineStr">
        <is>
          <t>Stock</t>
        </is>
      </c>
      <c r="F61" s="21" t="inlineStr">
        <is>
          <t>Avoid</t>
        </is>
      </c>
      <c r="G61" s="12" t="inlineStr">
        <is>
          <t>Price below 10- and 40-week averages (down-trend): no new money until trend repairs.</t>
        </is>
      </c>
      <c r="H61" s="13" t="n">
        <v>4.24</v>
      </c>
      <c r="I61" s="13" t="n"/>
      <c r="J61" s="13" t="n"/>
      <c r="K61" s="13" t="n"/>
      <c r="L61" s="14">
        <f>IF(K61="","",K61*(1-Policy!$B$7))</f>
        <v/>
      </c>
      <c r="M61" s="14" t="n">
        <v>4.587000000000001</v>
      </c>
      <c r="N61" s="15">
        <f>IF(L61="","",H61/L61-1)</f>
        <v/>
      </c>
      <c r="O61" s="15">
        <f>IF(AND(F61="Accumulate",N61&lt;&gt;"",N61&gt;0),MIN(Policy!$B$4/(N61+Policy!$B$12),IF(E61="Stock",Policy!$B$5,Policy!$B$6)),"")</f>
        <v/>
      </c>
      <c r="P61" s="16">
        <f>IF(O61="","",O61*Policy!$B$3*Policy!$B$2)</f>
        <v/>
      </c>
      <c r="Q61" s="17" t="n">
        <v>-0.03636363636363638</v>
      </c>
      <c r="R61" s="17" t="n">
        <v>-0.004694835680751019</v>
      </c>
      <c r="S61" s="18" t="n">
        <v>-0.1039140788466941</v>
      </c>
    </row>
    <row r="62">
      <c r="A62" s="10" t="inlineStr">
        <is>
          <t>XLC</t>
        </is>
      </c>
      <c r="B62" s="10" t="inlineStr">
        <is>
          <t>Communication Services Select ETF</t>
        </is>
      </c>
      <c r="C62" s="10" t="inlineStr">
        <is>
          <t>US</t>
        </is>
      </c>
      <c r="D62" s="10" t="inlineStr">
        <is>
          <t>Communication services</t>
        </is>
      </c>
      <c r="E62" s="10" t="inlineStr">
        <is>
          <t>Fund</t>
        </is>
      </c>
      <c r="F62" s="21" t="inlineStr">
        <is>
          <t>Avoid</t>
        </is>
      </c>
      <c r="G62" s="12" t="inlineStr">
        <is>
          <t>Price below 10- and 40-week averages (down-trend): no new money until trend repairs.</t>
        </is>
      </c>
      <c r="H62" s="13" t="n">
        <v>110.38</v>
      </c>
      <c r="I62" s="13" t="n"/>
      <c r="J62" s="13" t="n"/>
      <c r="K62" s="13" t="n"/>
      <c r="L62" s="14">
        <f>IF(K62="","",K62*(1-Policy!$B$7))</f>
        <v/>
      </c>
      <c r="M62" s="14" t="n">
        <v>113.2685</v>
      </c>
      <c r="N62" s="15">
        <f>IF(L62="","",H62/L62-1)</f>
        <v/>
      </c>
      <c r="O62" s="15">
        <f>IF(AND(F62="Accumulate",N62&lt;&gt;"",N62&gt;0),MIN(Policy!$B$4/(N62+Policy!$B$12),IF(E62="Stock",Policy!$B$5,Policy!$B$6)),"")</f>
        <v/>
      </c>
      <c r="P62" s="16">
        <f>IF(O62="","",O62*Policy!$B$3*Policy!$B$2)</f>
        <v/>
      </c>
      <c r="Q62" s="17" t="n">
        <v>-0.01128627731995702</v>
      </c>
      <c r="R62" s="17" t="n">
        <v>-0.02145390070921982</v>
      </c>
      <c r="S62" s="18" t="n">
        <v>-0.1066605025929294</v>
      </c>
    </row>
    <row r="63">
      <c r="A63" s="10" t="inlineStr">
        <is>
          <t>CJLU</t>
        </is>
      </c>
      <c r="B63" s="10" t="inlineStr">
        <is>
          <t>NetLink NBN Trust</t>
        </is>
      </c>
      <c r="C63" s="10" t="inlineStr">
        <is>
          <t>SG</t>
        </is>
      </c>
      <c r="D63" s="10" t="inlineStr">
        <is>
          <t>Business trust</t>
        </is>
      </c>
      <c r="E63" s="10" t="inlineStr">
        <is>
          <t>Stock</t>
        </is>
      </c>
      <c r="F63" s="21" t="inlineStr">
        <is>
          <t>Avoid</t>
        </is>
      </c>
      <c r="G63" s="12" t="inlineStr">
        <is>
          <t>Price below 10- and 40-week averages (down-trend): no new money until trend repairs.</t>
        </is>
      </c>
      <c r="H63" s="13" t="n">
        <v>0.955</v>
      </c>
      <c r="I63" s="13" t="n"/>
      <c r="J63" s="13" t="n"/>
      <c r="K63" s="13" t="n"/>
      <c r="L63" s="14">
        <f>IF(K63="","",K63*(1-Policy!$B$7))</f>
        <v/>
      </c>
      <c r="M63" s="14" t="n">
        <v>0.98275</v>
      </c>
      <c r="N63" s="15">
        <f>IF(L63="","",H63/L63-1)</f>
        <v/>
      </c>
      <c r="O63" s="15">
        <f>IF(AND(F63="Accumulate",N63&lt;&gt;"",N63&gt;0),MIN(Policy!$B$4/(N63+Policy!$B$12),IF(E63="Stock",Policy!$B$5,Policy!$B$6)),"")</f>
        <v/>
      </c>
      <c r="P63" s="16">
        <f>IF(O63="","",O63*Policy!$B$3*Policy!$B$2)</f>
        <v/>
      </c>
      <c r="Q63" s="17" t="n">
        <v>-0.01546391752577325</v>
      </c>
      <c r="R63" s="17" t="n">
        <v>-0.00520833333333337</v>
      </c>
      <c r="S63" s="18" t="n">
        <v>-0.1191087441807794</v>
      </c>
    </row>
    <row r="64">
      <c r="A64" s="10" t="inlineStr">
        <is>
          <t>XLRE</t>
        </is>
      </c>
      <c r="B64" s="10" t="inlineStr">
        <is>
          <t>Real Estate Select Sector ETF</t>
        </is>
      </c>
      <c r="C64" s="10" t="inlineStr">
        <is>
          <t>US</t>
        </is>
      </c>
      <c r="D64" s="10" t="inlineStr">
        <is>
          <t>Property</t>
        </is>
      </c>
      <c r="E64" s="10" t="inlineStr">
        <is>
          <t>Fund</t>
        </is>
      </c>
      <c r="F64" s="21" t="inlineStr">
        <is>
          <t>Avoid</t>
        </is>
      </c>
      <c r="G64" s="12" t="inlineStr">
        <is>
          <t>Price below 10- and 40-week averages (down-trend): no new money until trend repairs.</t>
        </is>
      </c>
      <c r="H64" s="13" t="n">
        <v>41.61</v>
      </c>
      <c r="I64" s="13" t="n"/>
      <c r="J64" s="13" t="n"/>
      <c r="K64" s="13" t="n"/>
      <c r="L64" s="14">
        <f>IF(K64="","",K64*(1-Policy!$B$7))</f>
        <v/>
      </c>
      <c r="M64" s="14" t="n">
        <v>43.39175</v>
      </c>
      <c r="N64" s="15">
        <f>IF(L64="","",H64/L64-1)</f>
        <v/>
      </c>
      <c r="O64" s="15">
        <f>IF(AND(F64="Accumulate",N64&lt;&gt;"",N64&gt;0),MIN(Policy!$B$4/(N64+Policy!$B$12),IF(E64="Stock",Policy!$B$5,Policy!$B$6)),"")</f>
        <v/>
      </c>
      <c r="P64" s="16">
        <f>IF(O64="","",O64*Policy!$B$3*Policy!$B$2)</f>
        <v/>
      </c>
      <c r="Q64" s="17" t="n">
        <v>-0.06389201349831275</v>
      </c>
      <c r="R64" s="17" t="n">
        <v>0.02286135693215341</v>
      </c>
      <c r="S64" s="18" t="n">
        <v>-0.1362933349396372</v>
      </c>
    </row>
    <row r="65">
      <c r="A65" s="10" t="inlineStr">
        <is>
          <t>600519</t>
        </is>
      </c>
      <c r="B65" s="10" t="inlineStr">
        <is>
          <t>Kweichow Moutai</t>
        </is>
      </c>
      <c r="C65" s="10" t="inlineStr">
        <is>
          <t>China</t>
        </is>
      </c>
      <c r="D65" s="10" t="inlineStr">
        <is>
          <t>Consumer staples</t>
        </is>
      </c>
      <c r="E65" s="10" t="inlineStr">
        <is>
          <t>Stock</t>
        </is>
      </c>
      <c r="F65" s="21" t="inlineStr">
        <is>
          <t>Avoid</t>
        </is>
      </c>
      <c r="G65" s="12" t="inlineStr">
        <is>
          <t>Price below 10- and 40-week averages (down-trend): no new money until trend repairs.</t>
        </is>
      </c>
      <c r="H65" s="13" t="n">
        <v>1263</v>
      </c>
      <c r="I65" s="13" t="n"/>
      <c r="J65" s="13" t="n"/>
      <c r="K65" s="13" t="n"/>
      <c r="L65" s="14">
        <f>IF(K65="","",K65*(1-Policy!$B$7))</f>
        <v/>
      </c>
      <c r="M65" s="14" t="n">
        <v>1340.04425</v>
      </c>
      <c r="N65" s="15">
        <f>IF(L65="","",H65/L65-1)</f>
        <v/>
      </c>
      <c r="O65" s="15">
        <f>IF(AND(F65="Accumulate",N65&lt;&gt;"",N65&gt;0),MIN(Policy!$B$4/(N65+Policy!$B$12),IF(E65="Stock",Policy!$B$5,Policy!$B$6)),"")</f>
        <v/>
      </c>
      <c r="P65" s="16">
        <f>IF(O65="","",O65*Policy!$B$3*Policy!$B$2)</f>
        <v/>
      </c>
      <c r="Q65" s="17" t="n">
        <v>0.04815017676641942</v>
      </c>
      <c r="R65" s="17" t="n">
        <v>-0.1167832167832168</v>
      </c>
      <c r="S65" s="18" t="n">
        <v>-0.1595824900382557</v>
      </c>
    </row>
    <row r="66">
      <c r="A66" s="10" t="inlineStr">
        <is>
          <t>941</t>
        </is>
      </c>
      <c r="B66" s="10" t="inlineStr">
        <is>
          <t>China Mobile</t>
        </is>
      </c>
      <c r="C66" s="10" t="inlineStr">
        <is>
          <t>HK</t>
        </is>
      </c>
      <c r="D66" s="10" t="inlineStr">
        <is>
          <t>Telecom</t>
        </is>
      </c>
      <c r="E66" s="10" t="inlineStr">
        <is>
          <t>Stock</t>
        </is>
      </c>
      <c r="F66" s="21" t="inlineStr">
        <is>
          <t>Avoid</t>
        </is>
      </c>
      <c r="G66" s="12" t="inlineStr">
        <is>
          <t>Price below 10- and 40-week averages (down-trend): no new money until trend repairs.</t>
        </is>
      </c>
      <c r="H66" s="13" t="n">
        <v>80.09999999999999</v>
      </c>
      <c r="I66" s="13" t="n"/>
      <c r="J66" s="13" t="n"/>
      <c r="K66" s="13" t="n"/>
      <c r="L66" s="14">
        <f>IF(K66="","",K66*(1-Policy!$B$7))</f>
        <v/>
      </c>
      <c r="M66" s="14" t="n">
        <v>80.742</v>
      </c>
      <c r="N66" s="15">
        <f>IF(L66="","",H66/L66-1)</f>
        <v/>
      </c>
      <c r="O66" s="15">
        <f>IF(AND(F66="Accumulate",N66&lt;&gt;"",N66&gt;0),MIN(Policy!$B$4/(N66+Policy!$B$12),IF(E66="Stock",Policy!$B$5,Policy!$B$6)),"")</f>
        <v/>
      </c>
      <c r="P66" s="16">
        <f>IF(O66="","",O66*Policy!$B$3*Policy!$B$2)</f>
        <v/>
      </c>
      <c r="Q66" s="17" t="n">
        <v>0.01701371254443873</v>
      </c>
      <c r="R66" s="17" t="n">
        <v>-0.05542452830188682</v>
      </c>
      <c r="S66" s="18" t="n">
        <v>-0.161240382966807</v>
      </c>
    </row>
    <row r="67">
      <c r="A67" s="10" t="inlineStr">
        <is>
          <t>XLY</t>
        </is>
      </c>
      <c r="B67" s="10" t="inlineStr">
        <is>
          <t>Consumer Discretionary Select ETF</t>
        </is>
      </c>
      <c r="C67" s="10" t="inlineStr">
        <is>
          <t>US</t>
        </is>
      </c>
      <c r="D67" s="10" t="inlineStr">
        <is>
          <t>Consumer discretionary</t>
        </is>
      </c>
      <c r="E67" s="10" t="inlineStr">
        <is>
          <t>Fund</t>
        </is>
      </c>
      <c r="F67" s="21" t="inlineStr">
        <is>
          <t>Avoid</t>
        </is>
      </c>
      <c r="G67" s="12" t="inlineStr">
        <is>
          <t>Price below 10- and 40-week averages (down-trend): no new money until trend repairs.</t>
        </is>
      </c>
      <c r="H67" s="13" t="n">
        <v>112.85</v>
      </c>
      <c r="I67" s="13" t="n"/>
      <c r="J67" s="13" t="n"/>
      <c r="K67" s="13" t="n"/>
      <c r="L67" s="14">
        <f>IF(K67="","",K67*(1-Policy!$B$7))</f>
        <v/>
      </c>
      <c r="M67" s="14" t="n">
        <v>115.94225</v>
      </c>
      <c r="N67" s="15">
        <f>IF(L67="","",H67/L67-1)</f>
        <v/>
      </c>
      <c r="O67" s="15">
        <f>IF(AND(F67="Accumulate",N67&lt;&gt;"",N67&gt;0),MIN(Policy!$B$4/(N67+Policy!$B$12),IF(E67="Stock",Policy!$B$5,Policy!$B$6)),"")</f>
        <v/>
      </c>
      <c r="P67" s="16">
        <f>IF(O67="","",O67*Policy!$B$3*Policy!$B$2)</f>
        <v/>
      </c>
      <c r="Q67" s="17" t="n">
        <v>-0.03744455817127257</v>
      </c>
      <c r="R67" s="17" t="n">
        <v>-0.03719819128060742</v>
      </c>
      <c r="S67" s="18" t="n">
        <v>-0.1971863350281679</v>
      </c>
    </row>
    <row r="68">
      <c r="A68" s="10" t="inlineStr">
        <is>
          <t>2800</t>
        </is>
      </c>
      <c r="B68" s="10" t="inlineStr">
        <is>
          <t>Tracker Fund of Hong Kong (HSI)</t>
        </is>
      </c>
      <c r="C68" s="10" t="inlineStr">
        <is>
          <t>HK</t>
        </is>
      </c>
      <c r="D68" s="10" t="inlineStr">
        <is>
          <t>Broad market</t>
        </is>
      </c>
      <c r="E68" s="10" t="inlineStr">
        <is>
          <t>Fund</t>
        </is>
      </c>
      <c r="F68" s="21" t="inlineStr">
        <is>
          <t>Avoid</t>
        </is>
      </c>
      <c r="G68" s="12" t="inlineStr">
        <is>
          <t>Price below 10- and 40-week averages (down-trend): no new money until trend repairs.</t>
        </is>
      </c>
      <c r="H68" s="13" t="n">
        <v>24.84</v>
      </c>
      <c r="I68" s="13" t="n"/>
      <c r="J68" s="13" t="n"/>
      <c r="K68" s="13" t="n"/>
      <c r="L68" s="14">
        <f>IF(K68="","",K68*(1-Policy!$B$7))</f>
        <v/>
      </c>
      <c r="M68" s="14" t="n">
        <v>25.7645</v>
      </c>
      <c r="N68" s="15">
        <f>IF(L68="","",H68/L68-1)</f>
        <v/>
      </c>
      <c r="O68" s="15">
        <f>IF(AND(F68="Accumulate",N68&lt;&gt;"",N68&gt;0),MIN(Policy!$B$4/(N68+Policy!$B$12),IF(E68="Stock",Policy!$B$5,Policy!$B$6)),"")</f>
        <v/>
      </c>
      <c r="P68" s="16">
        <f>IF(O68="","",O68*Policy!$B$3*Policy!$B$2)</f>
        <v/>
      </c>
      <c r="Q68" s="17" t="n">
        <v>0.008935824532900094</v>
      </c>
      <c r="R68" s="17" t="n">
        <v>-0.07863501483679525</v>
      </c>
      <c r="S68" s="18" t="n">
        <v>-0.2145674373739398</v>
      </c>
    </row>
    <row r="69">
      <c r="A69" s="10" t="inlineStr">
        <is>
          <t>3188</t>
        </is>
      </c>
      <c r="B69" s="10" t="inlineStr">
        <is>
          <t>ChinaAMC CSI 300 Index ETF</t>
        </is>
      </c>
      <c r="C69" s="10" t="inlineStr">
        <is>
          <t>China</t>
        </is>
      </c>
      <c r="D69" s="10" t="inlineStr">
        <is>
          <t>Broad A-share market</t>
        </is>
      </c>
      <c r="E69" s="10" t="inlineStr">
        <is>
          <t>Fund</t>
        </is>
      </c>
      <c r="F69" s="21" t="inlineStr">
        <is>
          <t>Avoid</t>
        </is>
      </c>
      <c r="G69" s="12" t="inlineStr">
        <is>
          <t>Price below 10- and 40-week averages (down-trend): no new money until trend repairs.</t>
        </is>
      </c>
      <c r="H69" s="13" t="n">
        <v>52.24</v>
      </c>
      <c r="I69" s="13" t="n"/>
      <c r="J69" s="13" t="n"/>
      <c r="K69" s="13" t="n"/>
      <c r="L69" s="14">
        <f>IF(K69="","",K69*(1-Policy!$B$7))</f>
        <v/>
      </c>
      <c r="M69" s="14" t="n">
        <v>55.736</v>
      </c>
      <c r="N69" s="15">
        <f>IF(L69="","",H69/L69-1)</f>
        <v/>
      </c>
      <c r="O69" s="15">
        <f>IF(AND(F69="Accumulate",N69&lt;&gt;"",N69&gt;0),MIN(Policy!$B$4/(N69+Policy!$B$12),IF(E69="Stock",Policy!$B$5,Policy!$B$6)),"")</f>
        <v/>
      </c>
      <c r="P69" s="16">
        <f>IF(O69="","",O69*Policy!$B$3*Policy!$B$2)</f>
        <v/>
      </c>
      <c r="Q69" s="17" t="n">
        <v>-0.09431345353675447</v>
      </c>
      <c r="R69" s="17" t="n">
        <v>-0.0007651109410864443</v>
      </c>
      <c r="S69" s="18" t="n">
        <v>-0.3106336933123339</v>
      </c>
    </row>
    <row r="70">
      <c r="A70" s="10" t="inlineStr">
        <is>
          <t>ORCL</t>
        </is>
      </c>
      <c r="B70" s="10" t="inlineStr">
        <is>
          <t>Oracle</t>
        </is>
      </c>
      <c r="C70" s="10" t="inlineStr">
        <is>
          <t>US</t>
        </is>
      </c>
      <c r="D70" s="10" t="inlineStr">
        <is>
          <t>Software</t>
        </is>
      </c>
      <c r="E70" s="10" t="inlineStr">
        <is>
          <t>Stock</t>
        </is>
      </c>
      <c r="F70" s="21" t="inlineStr">
        <is>
          <t>Avoid</t>
        </is>
      </c>
      <c r="G70" s="12" t="inlineStr">
        <is>
          <t>Price below 10- and 40-week averages (down-trend): no new money until trend repairs.</t>
        </is>
      </c>
      <c r="H70" s="13" t="n">
        <v>141.4</v>
      </c>
      <c r="I70" s="13" t="n"/>
      <c r="J70" s="13" t="n"/>
      <c r="K70" s="13" t="n"/>
      <c r="L70" s="14">
        <f>IF(K70="","",K70*(1-Policy!$B$7))</f>
        <v/>
      </c>
      <c r="M70" s="14" t="n">
        <v>159.7935</v>
      </c>
      <c r="N70" s="15">
        <f>IF(L70="","",H70/L70-1)</f>
        <v/>
      </c>
      <c r="O70" s="15">
        <f>IF(AND(F70="Accumulate",N70&lt;&gt;"",N70&gt;0),MIN(Policy!$B$4/(N70+Policy!$B$12),IF(E70="Stock",Policy!$B$5,Policy!$B$6)),"")</f>
        <v/>
      </c>
      <c r="P70" s="16">
        <f>IF(O70="","",O70*Policy!$B$3*Policy!$B$2)</f>
        <v/>
      </c>
      <c r="Q70" s="17" t="n">
        <v>0.005403868031854442</v>
      </c>
      <c r="R70" s="17" t="n">
        <v>-0.5173402512288366</v>
      </c>
      <c r="S70" s="18" t="n">
        <v>-0.4194897387223061</v>
      </c>
    </row>
    <row r="71">
      <c r="A71" s="10" t="inlineStr">
        <is>
          <t>9988</t>
        </is>
      </c>
      <c r="B71" s="10" t="inlineStr">
        <is>
          <t>Alibaba</t>
        </is>
      </c>
      <c r="C71" s="10" t="inlineStr">
        <is>
          <t>HK</t>
        </is>
      </c>
      <c r="D71" s="10" t="inlineStr">
        <is>
          <t>Consumer platforms</t>
        </is>
      </c>
      <c r="E71" s="10" t="inlineStr">
        <is>
          <t>Stock</t>
        </is>
      </c>
      <c r="F71" s="21" t="inlineStr">
        <is>
          <t>Avoid</t>
        </is>
      </c>
      <c r="G71" s="12" t="inlineStr">
        <is>
          <t>Price below 10- and 40-week averages (down-trend): no new money until trend repairs.</t>
        </is>
      </c>
      <c r="H71" s="13" t="n">
        <v>107</v>
      </c>
      <c r="I71" s="13" t="n"/>
      <c r="J71" s="13" t="n"/>
      <c r="K71" s="13" t="n"/>
      <c r="L71" s="14">
        <f>IF(K71="","",K71*(1-Policy!$B$7))</f>
        <v/>
      </c>
      <c r="M71" s="14" t="n">
        <v>125.38</v>
      </c>
      <c r="N71" s="15">
        <f>IF(L71="","",H71/L71-1)</f>
        <v/>
      </c>
      <c r="O71" s="15">
        <f>IF(AND(F71="Accumulate",N71&lt;&gt;"",N71&gt;0),MIN(Policy!$B$4/(N71+Policy!$B$12),IF(E71="Stock",Policy!$B$5,Policy!$B$6)),"")</f>
        <v/>
      </c>
      <c r="P71" s="16">
        <f>IF(O71="","",O71*Policy!$B$3*Policy!$B$2)</f>
        <v/>
      </c>
      <c r="Q71" s="17" t="n">
        <v>-0.02903811252268607</v>
      </c>
      <c r="R71" s="17" t="n">
        <v>-0.3530834340991535</v>
      </c>
      <c r="S71" s="18" t="n">
        <v>-0.4483368038057941</v>
      </c>
    </row>
    <row r="72">
      <c r="A72" s="10" t="inlineStr">
        <is>
          <t>388</t>
        </is>
      </c>
      <c r="B72" s="10" t="inlineStr">
        <is>
          <t>HKEX</t>
        </is>
      </c>
      <c r="C72" s="10" t="inlineStr">
        <is>
          <t>HK</t>
        </is>
      </c>
      <c r="D72" s="10" t="inlineStr">
        <is>
          <t>Market infrastructure</t>
        </is>
      </c>
      <c r="E72" s="10" t="inlineStr">
        <is>
          <t>Stock</t>
        </is>
      </c>
      <c r="F72" s="21" t="inlineStr">
        <is>
          <t>Avoid</t>
        </is>
      </c>
      <c r="G72" s="12" t="inlineStr">
        <is>
          <t>Price below 10- and 40-week averages (down-trend): no new money until trend repairs.</t>
        </is>
      </c>
      <c r="H72" s="13" t="n">
        <v>377.8</v>
      </c>
      <c r="I72" s="13" t="n"/>
      <c r="J72" s="13" t="n"/>
      <c r="K72" s="13" t="n"/>
      <c r="L72" s="14">
        <f>IF(K72="","",K72*(1-Policy!$B$7))</f>
        <v/>
      </c>
      <c r="M72" s="14" t="n">
        <v>402.975</v>
      </c>
      <c r="N72" s="15">
        <f>IF(L72="","",H72/L72-1)</f>
        <v/>
      </c>
      <c r="O72" s="15">
        <f>IF(AND(F72="Accumulate",N72&lt;&gt;"",N72&gt;0),MIN(Policy!$B$4/(N72+Policy!$B$12),IF(E72="Stock",Policy!$B$5,Policy!$B$6)),"")</f>
        <v/>
      </c>
      <c r="P72" s="16">
        <f>IF(O72="","",O72*Policy!$B$3*Policy!$B$2)</f>
        <v/>
      </c>
      <c r="Q72" s="17" t="n">
        <v>-0.01870129870129866</v>
      </c>
      <c r="R72" s="17" t="n">
        <v>-0.1502474134053081</v>
      </c>
      <c r="S72" s="18" t="n">
        <v>-0.4719356547298777</v>
      </c>
    </row>
    <row r="73">
      <c r="A73" s="10" t="inlineStr">
        <is>
          <t>3690</t>
        </is>
      </c>
      <c r="B73" s="10" t="inlineStr">
        <is>
          <t>Meituan</t>
        </is>
      </c>
      <c r="C73" s="10" t="inlineStr">
        <is>
          <t>HK</t>
        </is>
      </c>
      <c r="D73" s="10" t="inlineStr">
        <is>
          <t>Consumer platforms</t>
        </is>
      </c>
      <c r="E73" s="10" t="inlineStr">
        <is>
          <t>Stock</t>
        </is>
      </c>
      <c r="F73" s="21" t="inlineStr">
        <is>
          <t>Avoid</t>
        </is>
      </c>
      <c r="G73" s="12" t="inlineStr">
        <is>
          <t>Price below 10- and 40-week averages (down-trend): no new money until trend repairs.</t>
        </is>
      </c>
      <c r="H73" s="13" t="n">
        <v>71.5</v>
      </c>
      <c r="I73" s="13" t="n"/>
      <c r="J73" s="13" t="n"/>
      <c r="K73" s="13" t="n"/>
      <c r="L73" s="14">
        <f>IF(K73="","",K73*(1-Policy!$B$7))</f>
        <v/>
      </c>
      <c r="M73" s="14" t="n">
        <v>82.0145</v>
      </c>
      <c r="N73" s="15">
        <f>IF(L73="","",H73/L73-1)</f>
        <v/>
      </c>
      <c r="O73" s="15">
        <f>IF(AND(F73="Accumulate",N73&lt;&gt;"",N73&gt;0),MIN(Policy!$B$4/(N73+Policy!$B$12),IF(E73="Stock",Policy!$B$5,Policy!$B$6)),"")</f>
        <v/>
      </c>
      <c r="P73" s="16">
        <f>IF(O73="","",O73*Policy!$B$3*Policy!$B$2)</f>
        <v/>
      </c>
      <c r="Q73" s="17" t="n">
        <v>-0.0914866581956798</v>
      </c>
      <c r="R73" s="17" t="n">
        <v>-0.2969518190757129</v>
      </c>
      <c r="S73" s="18" t="n">
        <v>-0.4887813391570311</v>
      </c>
    </row>
    <row r="74">
      <c r="A74" s="10" t="inlineStr">
        <is>
          <t>C38U</t>
        </is>
      </c>
      <c r="B74" s="10" t="inlineStr">
        <is>
          <t>CapitaLand Integrated Commercial Trust</t>
        </is>
      </c>
      <c r="C74" s="10" t="inlineStr">
        <is>
          <t>SG</t>
        </is>
      </c>
      <c r="D74" s="10" t="inlineStr">
        <is>
          <t>Commercial REIT</t>
        </is>
      </c>
      <c r="E74" s="10" t="inlineStr">
        <is>
          <t>Stock</t>
        </is>
      </c>
      <c r="F74" s="21" t="inlineStr">
        <is>
          <t>Avoid</t>
        </is>
      </c>
      <c r="G74" s="12" t="inlineStr">
        <is>
          <t>Price below 10- and 40-week averages (down-trend): no new money until trend repairs.</t>
        </is>
      </c>
      <c r="H74" s="13" t="n">
        <v>2.24</v>
      </c>
      <c r="I74" s="13" t="n"/>
      <c r="J74" s="13" t="n"/>
      <c r="K74" s="13" t="n"/>
      <c r="L74" s="14">
        <f>IF(K74="","",K74*(1-Policy!$B$7))</f>
        <v/>
      </c>
      <c r="M74" s="14" t="n">
        <v>2.3665</v>
      </c>
      <c r="N74" s="15">
        <f>IF(L74="","",H74/L74-1)</f>
        <v/>
      </c>
      <c r="O74" s="15">
        <f>IF(AND(F74="Accumulate",N74&lt;&gt;"",N74&gt;0),MIN(Policy!$B$4/(N74+Policy!$B$12),IF(E74="Stock",Policy!$B$5,Policy!$B$6)),"")</f>
        <v/>
      </c>
      <c r="P74" s="16">
        <f>IF(O74="","",O74*Policy!$B$3*Policy!$B$2)</f>
        <v/>
      </c>
      <c r="Q74" s="17" t="n">
        <v>-0.08196721311475397</v>
      </c>
      <c r="R74" s="17" t="n">
        <v>-0.04273504273504258</v>
      </c>
      <c r="S74" s="18" t="n">
        <v>-0.4966579079079492</v>
      </c>
    </row>
    <row r="75">
      <c r="A75" s="10" t="inlineStr">
        <is>
          <t>XLU</t>
        </is>
      </c>
      <c r="B75" s="10" t="inlineStr">
        <is>
          <t>Utilities Select Sector ETF</t>
        </is>
      </c>
      <c r="C75" s="10" t="inlineStr">
        <is>
          <t>US</t>
        </is>
      </c>
      <c r="D75" s="10" t="inlineStr">
        <is>
          <t>Utilities</t>
        </is>
      </c>
      <c r="E75" s="10" t="inlineStr">
        <is>
          <t>Fund</t>
        </is>
      </c>
      <c r="F75" s="21" t="inlineStr">
        <is>
          <t>Avoid</t>
        </is>
      </c>
      <c r="G75" s="12" t="inlineStr">
        <is>
          <t>Price below 10- and 40-week averages (down-trend): no new money until trend repairs.</t>
        </is>
      </c>
      <c r="H75" s="13" t="n">
        <v>41.41</v>
      </c>
      <c r="I75" s="13" t="n"/>
      <c r="J75" s="13" t="n"/>
      <c r="K75" s="13" t="n"/>
      <c r="L75" s="14">
        <f>IF(K75="","",K75*(1-Policy!$B$7))</f>
        <v/>
      </c>
      <c r="M75" s="14" t="n">
        <v>44.44175</v>
      </c>
      <c r="N75" s="15">
        <f>IF(L75="","",H75/L75-1)</f>
        <v/>
      </c>
      <c r="O75" s="15">
        <f>IF(AND(F75="Accumulate",N75&lt;&gt;"",N75&gt;0),MIN(Policy!$B$4/(N75+Policy!$B$12),IF(E75="Stock",Policy!$B$5,Policy!$B$6)),"")</f>
        <v/>
      </c>
      <c r="P75" s="16">
        <f>IF(O75="","",O75*Policy!$B$3*Policy!$B$2)</f>
        <v/>
      </c>
      <c r="Q75" s="17" t="n">
        <v>-0.08808632459810617</v>
      </c>
      <c r="R75" s="17" t="n">
        <v>-0.09555531287539587</v>
      </c>
      <c r="S75" s="18" t="n">
        <v>-0.532893144115688</v>
      </c>
    </row>
    <row r="76">
      <c r="A76" s="10" t="inlineStr">
        <is>
          <t>300750</t>
        </is>
      </c>
      <c r="B76" s="10" t="inlineStr">
        <is>
          <t>CATL</t>
        </is>
      </c>
      <c r="C76" s="10" t="inlineStr">
        <is>
          <t>China</t>
        </is>
      </c>
      <c r="D76" s="10" t="inlineStr">
        <is>
          <t>Battery / industrial</t>
        </is>
      </c>
      <c r="E76" s="10" t="inlineStr">
        <is>
          <t>Stock</t>
        </is>
      </c>
      <c r="F76" s="21" t="inlineStr">
        <is>
          <t>Avoid</t>
        </is>
      </c>
      <c r="G76" s="12" t="inlineStr">
        <is>
          <t>Price below 10- and 40-week averages (down-trend): no new money until trend repairs.</t>
        </is>
      </c>
      <c r="H76" s="13" t="n">
        <v>297.75</v>
      </c>
      <c r="I76" s="13" t="n"/>
      <c r="J76" s="13" t="n"/>
      <c r="K76" s="13" t="n"/>
      <c r="L76" s="14">
        <f>IF(K76="","",K76*(1-Policy!$B$7))</f>
        <v/>
      </c>
      <c r="M76" s="14" t="n">
        <v>378.495</v>
      </c>
      <c r="N76" s="15">
        <f>IF(L76="","",H76/L76-1)</f>
        <v/>
      </c>
      <c r="O76" s="15">
        <f>IF(AND(F76="Accumulate",N76&lt;&gt;"",N76&gt;0),MIN(Policy!$B$4/(N76+Policy!$B$12),IF(E76="Stock",Policy!$B$5,Policy!$B$6)),"")</f>
        <v/>
      </c>
      <c r="P76" s="16">
        <f>IF(O76="","",O76*Policy!$B$3*Policy!$B$2)</f>
        <v/>
      </c>
      <c r="Q76" s="17" t="n">
        <v>-0.1441260168444048</v>
      </c>
      <c r="R76" s="17" t="n">
        <v>-0.2198349272894012</v>
      </c>
      <c r="S76" s="18" t="n">
        <v>-0.5825289590489358</v>
      </c>
    </row>
    <row r="77">
      <c r="A77" s="10" t="inlineStr">
        <is>
          <t>1211</t>
        </is>
      </c>
      <c r="B77" s="10" t="inlineStr">
        <is>
          <t>BYD H</t>
        </is>
      </c>
      <c r="C77" s="10" t="inlineStr">
        <is>
          <t>HK</t>
        </is>
      </c>
      <c r="D77" s="10" t="inlineStr">
        <is>
          <t>Autos</t>
        </is>
      </c>
      <c r="E77" s="10" t="inlineStr">
        <is>
          <t>Stock</t>
        </is>
      </c>
      <c r="F77" s="21" t="inlineStr">
        <is>
          <t>Avoid</t>
        </is>
      </c>
      <c r="G77" s="12" t="inlineStr">
        <is>
          <t>Price below 10- and 40-week averages (down-trend): no new money until trend repairs.</t>
        </is>
      </c>
      <c r="H77" s="13" t="n">
        <v>75.59999999999999</v>
      </c>
      <c r="I77" s="13" t="n"/>
      <c r="J77" s="13" t="n"/>
      <c r="K77" s="13" t="n"/>
      <c r="L77" s="14">
        <f>IF(K77="","",K77*(1-Policy!$B$7))</f>
        <v/>
      </c>
      <c r="M77" s="14" t="n">
        <v>92.1395</v>
      </c>
      <c r="N77" s="15">
        <f>IF(L77="","",H77/L77-1)</f>
        <v/>
      </c>
      <c r="O77" s="15">
        <f>IF(AND(F77="Accumulate",N77&lt;&gt;"",N77&gt;0),MIN(Policy!$B$4/(N77+Policy!$B$12),IF(E77="Stock",Policy!$B$5,Policy!$B$6)),"")</f>
        <v/>
      </c>
      <c r="P77" s="16">
        <f>IF(O77="","",O77*Policy!$B$3*Policy!$B$2)</f>
        <v/>
      </c>
      <c r="Q77" s="17" t="n">
        <v>-0.1095406360424029</v>
      </c>
      <c r="R77" s="17" t="n">
        <v>-0.3012939001848429</v>
      </c>
      <c r="S77" s="18" t="n">
        <v>-0.5865581331527403</v>
      </c>
    </row>
    <row r="78">
      <c r="A78" s="10" t="inlineStr">
        <is>
          <t>AJBU</t>
        </is>
      </c>
      <c r="B78" s="10" t="inlineStr">
        <is>
          <t>Keppel DC REIT</t>
        </is>
      </c>
      <c r="C78" s="10" t="inlineStr">
        <is>
          <t>SG</t>
        </is>
      </c>
      <c r="D78" s="10" t="inlineStr">
        <is>
          <t>Data-centre REIT</t>
        </is>
      </c>
      <c r="E78" s="10" t="inlineStr">
        <is>
          <t>Stock</t>
        </is>
      </c>
      <c r="F78" s="21" t="inlineStr">
        <is>
          <t>Avoid</t>
        </is>
      </c>
      <c r="G78" s="12" t="inlineStr">
        <is>
          <t>Price below 10- and 40-week averages (down-trend): no new money until trend repairs.</t>
        </is>
      </c>
      <c r="H78" s="13" t="n">
        <v>2.13</v>
      </c>
      <c r="I78" s="13" t="n"/>
      <c r="J78" s="13" t="n"/>
      <c r="K78" s="13" t="n"/>
      <c r="L78" s="14">
        <f>IF(K78="","",K78*(1-Policy!$B$7))</f>
        <v/>
      </c>
      <c r="M78" s="14" t="n">
        <v>2.249</v>
      </c>
      <c r="N78" s="15">
        <f>IF(L78="","",H78/L78-1)</f>
        <v/>
      </c>
      <c r="O78" s="15">
        <f>IF(AND(F78="Accumulate",N78&lt;&gt;"",N78&gt;0),MIN(Policy!$B$4/(N78+Policy!$B$12),IF(E78="Stock",Policy!$B$5,Policy!$B$6)),"")</f>
        <v/>
      </c>
      <c r="P78" s="16">
        <f>IF(O78="","",O78*Policy!$B$3*Policy!$B$2)</f>
        <v/>
      </c>
      <c r="Q78" s="17" t="n">
        <v>-0.04910714285714302</v>
      </c>
      <c r="R78" s="17" t="n">
        <v>-0.1087866108786611</v>
      </c>
      <c r="S78" s="18" t="n">
        <v>-0.5961971298037509</v>
      </c>
    </row>
    <row r="79">
      <c r="A79" s="10" t="inlineStr">
        <is>
          <t>700</t>
        </is>
      </c>
      <c r="B79" s="10" t="inlineStr">
        <is>
          <t>Tencent</t>
        </is>
      </c>
      <c r="C79" s="10" t="inlineStr">
        <is>
          <t>HK</t>
        </is>
      </c>
      <c r="D79" s="10" t="inlineStr">
        <is>
          <t>Technology</t>
        </is>
      </c>
      <c r="E79" s="10" t="inlineStr">
        <is>
          <t>Stock</t>
        </is>
      </c>
      <c r="F79" s="21" t="inlineStr">
        <is>
          <t>Avoid</t>
        </is>
      </c>
      <c r="G79" s="12" t="inlineStr">
        <is>
          <t>Price below 10- and 40-week averages (down-trend): no new money until trend repairs.</t>
        </is>
      </c>
      <c r="H79" s="13" t="n">
        <v>424.8</v>
      </c>
      <c r="I79" s="13" t="n"/>
      <c r="J79" s="13" t="n"/>
      <c r="K79" s="13" t="n"/>
      <c r="L79" s="14">
        <f>IF(K79="","",K79*(1-Policy!$B$7))</f>
        <v/>
      </c>
      <c r="M79" s="14" t="n">
        <v>482.89</v>
      </c>
      <c r="N79" s="15">
        <f>IF(L79="","",H79/L79-1)</f>
        <v/>
      </c>
      <c r="O79" s="15">
        <f>IF(AND(F79="Accumulate",N79&lt;&gt;"",N79&gt;0),MIN(Policy!$B$4/(N79+Policy!$B$12),IF(E79="Stock",Policy!$B$5,Policy!$B$6)),"")</f>
        <v/>
      </c>
      <c r="P79" s="16">
        <f>IF(O79="","",O79*Policy!$B$3*Policy!$B$2)</f>
        <v/>
      </c>
      <c r="Q79" s="17" t="n">
        <v>-0.07692307692307687</v>
      </c>
      <c r="R79" s="17" t="n">
        <v>-0.3480662983425414</v>
      </c>
      <c r="S79" s="18" t="n">
        <v>-0.7369383961363986</v>
      </c>
    </row>
    <row r="80">
      <c r="A80" s="10" t="inlineStr">
        <is>
          <t>M44U</t>
        </is>
      </c>
      <c r="B80" s="10" t="inlineStr">
        <is>
          <t>Mapletree Logistics Trust</t>
        </is>
      </c>
      <c r="C80" s="10" t="inlineStr">
        <is>
          <t>SG</t>
        </is>
      </c>
      <c r="D80" s="10" t="inlineStr">
        <is>
          <t>Logistics REIT</t>
        </is>
      </c>
      <c r="E80" s="10" t="inlineStr">
        <is>
          <t>Stock</t>
        </is>
      </c>
      <c r="F80" s="21" t="inlineStr">
        <is>
          <t>Avoid</t>
        </is>
      </c>
      <c r="G80" s="12" t="inlineStr">
        <is>
          <t>Price below 10- and 40-week averages (down-trend): no new money until trend repairs.</t>
        </is>
      </c>
      <c r="H80" s="13" t="n">
        <v>1.08</v>
      </c>
      <c r="I80" s="13" t="n"/>
      <c r="J80" s="13" t="n"/>
      <c r="K80" s="13" t="n"/>
      <c r="L80" s="14">
        <f>IF(K80="","",K80*(1-Policy!$B$7))</f>
        <v/>
      </c>
      <c r="M80" s="14" t="n">
        <v>1.2135</v>
      </c>
      <c r="N80" s="15">
        <f>IF(L80="","",H80/L80-1)</f>
        <v/>
      </c>
      <c r="O80" s="15">
        <f>IF(AND(F80="Accumulate",N80&lt;&gt;"",N80&gt;0),MIN(Policy!$B$4/(N80+Policy!$B$12),IF(E80="Stock",Policy!$B$5,Policy!$B$6)),"")</f>
        <v/>
      </c>
      <c r="P80" s="16">
        <f>IF(O80="","",O80*Policy!$B$3*Policy!$B$2)</f>
        <v/>
      </c>
      <c r="Q80" s="17" t="n">
        <v>-0.121951219512195</v>
      </c>
      <c r="R80" s="17" t="n">
        <v>-0.1428571428571428</v>
      </c>
      <c r="S80" s="18" t="n">
        <v>-0.8908254108858512</v>
      </c>
    </row>
    <row r="81">
      <c r="A81" s="10" t="inlineStr">
        <is>
          <t>ME8U</t>
        </is>
      </c>
      <c r="B81" s="10" t="inlineStr">
        <is>
          <t>Mapletree Industrial Trust</t>
        </is>
      </c>
      <c r="C81" s="10" t="inlineStr">
        <is>
          <t>SG</t>
        </is>
      </c>
      <c r="D81" s="10" t="inlineStr">
        <is>
          <t>Industrial REIT</t>
        </is>
      </c>
      <c r="E81" s="10" t="inlineStr">
        <is>
          <t>Stock</t>
        </is>
      </c>
      <c r="F81" s="21" t="inlineStr">
        <is>
          <t>Avoid</t>
        </is>
      </c>
      <c r="G81" s="12" t="inlineStr">
        <is>
          <t>Price below 10- and 40-week averages (down-trend): no new money until trend repairs.</t>
        </is>
      </c>
      <c r="H81" s="13" t="n">
        <v>1.83</v>
      </c>
      <c r="I81" s="13" t="n"/>
      <c r="J81" s="13" t="n"/>
      <c r="K81" s="13" t="n"/>
      <c r="L81" s="14">
        <f>IF(K81="","",K81*(1-Policy!$B$7))</f>
        <v/>
      </c>
      <c r="M81" s="14" t="n">
        <v>1.96625</v>
      </c>
      <c r="N81" s="15">
        <f>IF(L81="","",H81/L81-1)</f>
        <v/>
      </c>
      <c r="O81" s="15">
        <f>IF(AND(F81="Accumulate",N81&lt;&gt;"",N81&gt;0),MIN(Policy!$B$4/(N81+Policy!$B$12),IF(E81="Stock",Policy!$B$5,Policy!$B$6)),"")</f>
        <v/>
      </c>
      <c r="P81" s="16">
        <f>IF(O81="","",O81*Policy!$B$3*Policy!$B$2)</f>
        <v/>
      </c>
      <c r="Q81" s="17" t="n">
        <v>-0.05670103092783496</v>
      </c>
      <c r="R81" s="17" t="n">
        <v>-0.1448598130841122</v>
      </c>
      <c r="S81" s="18" t="n">
        <v>-0.9020030702595929</v>
      </c>
    </row>
    <row r="82">
      <c r="A82" s="10" t="inlineStr">
        <is>
          <t>J69U</t>
        </is>
      </c>
      <c r="B82" s="10" t="inlineStr">
        <is>
          <t>Frasers Centrepoint Trust</t>
        </is>
      </c>
      <c r="C82" s="10" t="inlineStr">
        <is>
          <t>SG</t>
        </is>
      </c>
      <c r="D82" s="10" t="inlineStr">
        <is>
          <t>Retail REIT</t>
        </is>
      </c>
      <c r="E82" s="10" t="inlineStr">
        <is>
          <t>Stock</t>
        </is>
      </c>
      <c r="F82" s="21" t="inlineStr">
        <is>
          <t>Avoid</t>
        </is>
      </c>
      <c r="G82" s="12" t="inlineStr">
        <is>
          <t>Price below 10- and 40-week averages (down-trend): no new money until trend repairs.</t>
        </is>
      </c>
      <c r="H82" s="13" t="n">
        <v>2.07</v>
      </c>
      <c r="I82" s="13" t="n"/>
      <c r="J82" s="13" t="n"/>
      <c r="K82" s="13" t="n"/>
      <c r="L82" s="14">
        <f>IF(K82="","",K82*(1-Policy!$B$7))</f>
        <v/>
      </c>
      <c r="M82" s="14" t="n">
        <v>2.226</v>
      </c>
      <c r="N82" s="15">
        <f>IF(L82="","",H82/L82-1)</f>
        <v/>
      </c>
      <c r="O82" s="15">
        <f>IF(AND(F82="Accumulate",N82&lt;&gt;"",N82&gt;0),MIN(Policy!$B$4/(N82+Policy!$B$12),IF(E82="Stock",Policy!$B$5,Policy!$B$6)),"")</f>
        <v/>
      </c>
      <c r="P82" s="16">
        <f>IF(O82="","",O82*Policy!$B$3*Policy!$B$2)</f>
        <v/>
      </c>
      <c r="Q82" s="17" t="n">
        <v>-0.08000000000000007</v>
      </c>
      <c r="R82" s="17" t="n">
        <v>-0.1302521008403361</v>
      </c>
      <c r="S82" s="18" t="n">
        <v>-0.9147060230081993</v>
      </c>
    </row>
    <row r="83">
      <c r="A83" s="10" t="inlineStr">
        <is>
          <t>N2IU</t>
        </is>
      </c>
      <c r="B83" s="10" t="inlineStr">
        <is>
          <t>Mapletree Pan Asia Commercial Trust</t>
        </is>
      </c>
      <c r="C83" s="10" t="inlineStr">
        <is>
          <t>SG</t>
        </is>
      </c>
      <c r="D83" s="10" t="inlineStr">
        <is>
          <t>Commercial REIT</t>
        </is>
      </c>
      <c r="E83" s="10" t="inlineStr">
        <is>
          <t>Stock</t>
        </is>
      </c>
      <c r="F83" s="21" t="inlineStr">
        <is>
          <t>Avoid</t>
        </is>
      </c>
      <c r="G83" s="12" t="inlineStr">
        <is>
          <t>Price below 10- and 40-week averages (down-trend): no new money until trend repairs.</t>
        </is>
      </c>
      <c r="H83" s="13" t="n">
        <v>1.19</v>
      </c>
      <c r="I83" s="13" t="n"/>
      <c r="J83" s="13" t="n"/>
      <c r="K83" s="13" t="n"/>
      <c r="L83" s="14">
        <f>IF(K83="","",K83*(1-Policy!$B$7))</f>
        <v/>
      </c>
      <c r="M83" s="14" t="n">
        <v>1.3235</v>
      </c>
      <c r="N83" s="15">
        <f>IF(L83="","",H83/L83-1)</f>
        <v/>
      </c>
      <c r="O83" s="15">
        <f>IF(AND(F83="Accumulate",N83&lt;&gt;"",N83&gt;0),MIN(Policy!$B$4/(N83+Policy!$B$12),IF(E83="Stock",Policy!$B$5,Policy!$B$6)),"")</f>
        <v/>
      </c>
      <c r="P83" s="16">
        <f>IF(O83="","",O83*Policy!$B$3*Policy!$B$2)</f>
        <v/>
      </c>
      <c r="Q83" s="17" t="n">
        <v>-0.09160305343511455</v>
      </c>
      <c r="R83" s="17" t="n">
        <v>-0.1793103448275862</v>
      </c>
      <c r="S83" s="18" t="n">
        <v>-0.9868306065512197</v>
      </c>
    </row>
    <row r="84">
      <c r="A84" s="10" t="inlineStr">
        <is>
          <t>A17U</t>
        </is>
      </c>
      <c r="B84" s="10" t="inlineStr">
        <is>
          <t>CapitaLand Ascendas REIT</t>
        </is>
      </c>
      <c r="C84" s="10" t="inlineStr">
        <is>
          <t>SG</t>
        </is>
      </c>
      <c r="D84" s="10" t="inlineStr">
        <is>
          <t>Industrial REIT</t>
        </is>
      </c>
      <c r="E84" s="10" t="inlineStr">
        <is>
          <t>Stock</t>
        </is>
      </c>
      <c r="F84" s="21" t="inlineStr">
        <is>
          <t>Avoid</t>
        </is>
      </c>
      <c r="G84" s="12" t="inlineStr">
        <is>
          <t>Price below 10- and 40-week averages (down-trend): no new money until trend repairs.</t>
        </is>
      </c>
      <c r="H84" s="13" t="n">
        <v>2.19</v>
      </c>
      <c r="I84" s="13" t="n"/>
      <c r="J84" s="13" t="n"/>
      <c r="K84" s="13" t="n"/>
      <c r="L84" s="14">
        <f>IF(K84="","",K84*(1-Policy!$B$7))</f>
        <v/>
      </c>
      <c r="M84" s="14" t="n">
        <v>2.53425</v>
      </c>
      <c r="N84" s="15">
        <f>IF(L84="","",H84/L84-1)</f>
        <v/>
      </c>
      <c r="O84" s="15">
        <f>IF(AND(F84="Accumulate",N84&lt;&gt;"",N84&gt;0),MIN(Policy!$B$4/(N84+Policy!$B$12),IF(E84="Stock",Policy!$B$5,Policy!$B$6)),"")</f>
        <v/>
      </c>
      <c r="P84" s="16">
        <f>IF(O84="","",O84*Policy!$B$3*Policy!$B$2)</f>
        <v/>
      </c>
      <c r="Q84" s="17" t="n">
        <v>-0.1309523809523809</v>
      </c>
      <c r="R84" s="17" t="n">
        <v>-0.2288732394366197</v>
      </c>
      <c r="S84" s="18" t="n">
        <v>-1.588645700689675</v>
      </c>
    </row>
    <row r="86">
      <c r="A86" s="9" t="inlineStr">
        <is>
          <t>Totals</t>
        </is>
      </c>
      <c r="N86" s="9" t="inlineStr">
        <is>
          <t>Accumulate weight</t>
        </is>
      </c>
      <c r="O86" s="22">
        <f>SUM(O2:O84)</f>
        <v/>
      </c>
      <c r="P86" s="23">
        <f>SUM(P2:P84)</f>
        <v/>
      </c>
    </row>
    <row r="87">
      <c r="A87" s="2" t="inlineStr">
        <is>
          <t>Prices in each instrument's quote currency (London in GBP, HK in HKD, China A in CNY, SG in SGD). Amounts are in your base currency: convert before ordering.</t>
        </is>
      </c>
    </row>
  </sheetData>
  <autoFilter ref="A1:S8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4" customWidth="1" min="2" max="2"/>
    <col width="11" customWidth="1" min="3" max="3"/>
    <col width="13" customWidth="1" min="4" max="4"/>
    <col width="11" customWidth="1" min="5" max="5"/>
    <col width="14" customWidth="1" min="6" max="6"/>
    <col width="11" customWidth="1" min="7" max="7"/>
    <col width="11" customWidth="1" min="8" max="8"/>
    <col width="11" customWidth="1" min="9" max="9"/>
    <col width="12" customWidth="1" min="10" max="10"/>
    <col width="10" customWidth="1" min="11" max="11"/>
    <col width="14" customWidth="1" min="12" max="12"/>
    <col width="70" customWidth="1" min="13" max="13"/>
  </cols>
  <sheetData>
    <row r="1">
      <c r="A1" s="5" t="inlineStr">
        <is>
          <t>Symbol</t>
        </is>
      </c>
      <c r="B1" s="5" t="inlineStr">
        <is>
          <t>Name</t>
        </is>
      </c>
      <c r="C1" s="5" t="inlineStr">
        <is>
          <t>Price (SGD)</t>
        </is>
      </c>
      <c r="D1" s="5" t="inlineStr">
        <is>
          <t>Trailing cash (SGD)</t>
        </is>
      </c>
      <c r="E1" s="5" t="inlineStr">
        <is>
          <t>Trailing yield</t>
        </is>
      </c>
      <c r="F1" s="5" t="inlineStr">
        <is>
          <t>Fit</t>
        </is>
      </c>
      <c r="G1" s="5" t="inlineStr">
        <is>
          <t>Price for 6%</t>
        </is>
      </c>
      <c r="H1" s="5" t="inlineStr">
        <is>
          <t>Price for 7%</t>
        </is>
      </c>
      <c r="I1" s="5" t="inlineStr">
        <is>
          <t>Price for 8%</t>
        </is>
      </c>
      <c r="J1" s="5" t="inlineStr">
        <is>
          <t>Yield if cut 20%</t>
        </is>
      </c>
      <c r="K1" s="5" t="inlineStr">
        <is>
          <t>1y price</t>
        </is>
      </c>
      <c r="L1" s="5" t="inlineStr">
        <is>
          <t>Income decision</t>
        </is>
      </c>
      <c r="M1" s="5" t="inlineStr">
        <is>
          <t>Plan</t>
        </is>
      </c>
    </row>
    <row r="2">
      <c r="A2" s="4" t="inlineStr">
        <is>
          <t>ME8U</t>
        </is>
      </c>
      <c r="B2" s="4" t="inlineStr">
        <is>
          <t>Mapletree Industrial Trust</t>
        </is>
      </c>
      <c r="C2" s="24" t="n">
        <v>1.83</v>
      </c>
      <c r="D2" s="25" t="n">
        <v>0.1255</v>
      </c>
      <c r="E2" s="26">
        <f>IF(C2&gt;0,D2/C2,"")</f>
        <v/>
      </c>
      <c r="F2">
        <f>IF(E2="","no data",IF(E2&lt;Policy!$B$8,"below band",IF(E2&gt;Policy!$B$9,"above band","in band")))</f>
        <v/>
      </c>
      <c r="G2" s="27">
        <f>D2/Policy!$B$8</f>
        <v/>
      </c>
      <c r="H2" s="27">
        <f>D2/((Policy!$B$8+Policy!$B$9)/2)</f>
        <v/>
      </c>
      <c r="I2" s="27">
        <f>D2/Policy!$B$9</f>
        <v/>
      </c>
      <c r="J2" s="26">
        <f>E2*0.8</f>
        <v/>
      </c>
      <c r="K2" s="28" t="n">
        <v>-0.1448598130841122</v>
      </c>
      <c r="L2" s="9" t="inlineStr">
        <is>
          <t>Accumulate</t>
        </is>
      </c>
      <c r="M2" s="29" t="inlineStr">
        <is>
          <t>Yield in target band but price in down-trend: stage in thirds (now, at 1.793 for 7% yield, and after trend repair).</t>
        </is>
      </c>
    </row>
    <row r="3">
      <c r="A3" s="4" t="inlineStr">
        <is>
          <t>A17U</t>
        </is>
      </c>
      <c r="B3" s="4" t="inlineStr">
        <is>
          <t>CapitaLand Ascendas REIT</t>
        </is>
      </c>
      <c r="C3" s="24" t="n">
        <v>2.19</v>
      </c>
      <c r="D3" s="25" t="n">
        <v>0.1501</v>
      </c>
      <c r="E3" s="26">
        <f>IF(C3&gt;0,D3/C3,"")</f>
        <v/>
      </c>
      <c r="F3">
        <f>IF(E3="","no data",IF(E3&lt;Policy!$B$8,"below band",IF(E3&gt;Policy!$B$9,"above band","in band")))</f>
        <v/>
      </c>
      <c r="G3" s="27">
        <f>D3/Policy!$B$8</f>
        <v/>
      </c>
      <c r="H3" s="27">
        <f>D3/((Policy!$B$8+Policy!$B$9)/2)</f>
        <v/>
      </c>
      <c r="I3" s="27">
        <f>D3/Policy!$B$9</f>
        <v/>
      </c>
      <c r="J3" s="26">
        <f>E3*0.8</f>
        <v/>
      </c>
      <c r="K3" s="28" t="n">
        <v>-0.2288732394366197</v>
      </c>
      <c r="L3" s="9" t="inlineStr">
        <is>
          <t>Accumulate</t>
        </is>
      </c>
      <c r="M3" s="29" t="inlineStr">
        <is>
          <t>Yield in target band but price in down-trend: stage in thirds (now, at 2.144 for 7% yield, and after trend repair).</t>
        </is>
      </c>
    </row>
    <row r="4">
      <c r="A4" s="4" t="inlineStr">
        <is>
          <t>M44U</t>
        </is>
      </c>
      <c r="B4" s="4" t="inlineStr">
        <is>
          <t>Mapletree Logistics Trust</t>
        </is>
      </c>
      <c r="C4" s="24" t="n">
        <v>1.08</v>
      </c>
      <c r="D4" s="25" t="n">
        <v>0.07266</v>
      </c>
      <c r="E4" s="26">
        <f>IF(C4&gt;0,D4/C4,"")</f>
        <v/>
      </c>
      <c r="F4">
        <f>IF(E4="","no data",IF(E4&lt;Policy!$B$8,"below band",IF(E4&gt;Policy!$B$9,"above band","in band")))</f>
        <v/>
      </c>
      <c r="G4" s="27">
        <f>D4/Policy!$B$8</f>
        <v/>
      </c>
      <c r="H4" s="27">
        <f>D4/((Policy!$B$8+Policy!$B$9)/2)</f>
        <v/>
      </c>
      <c r="I4" s="27">
        <f>D4/Policy!$B$9</f>
        <v/>
      </c>
      <c r="J4" s="26">
        <f>E4*0.8</f>
        <v/>
      </c>
      <c r="K4" s="28" t="n">
        <v>-0.1428571428571428</v>
      </c>
      <c r="L4" s="9" t="inlineStr">
        <is>
          <t>Accumulate</t>
        </is>
      </c>
      <c r="M4" s="29" t="inlineStr">
        <is>
          <t>Yield in target band but price in down-trend: stage in thirds (now, at 1.038 for 7% yield, and after trend repair).</t>
        </is>
      </c>
    </row>
    <row r="5">
      <c r="A5" s="4" t="inlineStr">
        <is>
          <t>N2IU</t>
        </is>
      </c>
      <c r="B5" s="4" t="inlineStr">
        <is>
          <t>Mapletree Pan Asia Commercial Trust</t>
        </is>
      </c>
      <c r="C5" s="24" t="n">
        <v>1.19</v>
      </c>
      <c r="D5" s="25" t="n">
        <v>0.07920000000000001</v>
      </c>
      <c r="E5" s="26">
        <f>IF(C5&gt;0,D5/C5,"")</f>
        <v/>
      </c>
      <c r="F5">
        <f>IF(E5="","no data",IF(E5&lt;Policy!$B$8,"below band",IF(E5&gt;Policy!$B$9,"above band","in band")))</f>
        <v/>
      </c>
      <c r="G5" s="27">
        <f>D5/Policy!$B$8</f>
        <v/>
      </c>
      <c r="H5" s="27">
        <f>D5/((Policy!$B$8+Policy!$B$9)/2)</f>
        <v/>
      </c>
      <c r="I5" s="27">
        <f>D5/Policy!$B$9</f>
        <v/>
      </c>
      <c r="J5" s="26">
        <f>E5*0.8</f>
        <v/>
      </c>
      <c r="K5" s="28" t="n">
        <v>-0.1793103448275862</v>
      </c>
      <c r="L5" s="9" t="inlineStr">
        <is>
          <t>Accumulate</t>
        </is>
      </c>
      <c r="M5" s="29" t="inlineStr">
        <is>
          <t>Yield in target band but price in down-trend: stage in thirds (now, at 1.131 for 7% yield, and after trend repair).</t>
        </is>
      </c>
    </row>
    <row r="6">
      <c r="A6" s="4" t="inlineStr">
        <is>
          <t>AJBU</t>
        </is>
      </c>
      <c r="B6" s="4" t="inlineStr">
        <is>
          <t>Keppel DC REIT</t>
        </is>
      </c>
      <c r="C6" s="24" t="n">
        <v>2.13</v>
      </c>
      <c r="D6" s="25" t="n">
        <v>0.13223</v>
      </c>
      <c r="E6" s="26">
        <f>IF(C6&gt;0,D6/C6,"")</f>
        <v/>
      </c>
      <c r="F6">
        <f>IF(E6="","no data",IF(E6&lt;Policy!$B$8,"below band",IF(E6&gt;Policy!$B$9,"above band","in band")))</f>
        <v/>
      </c>
      <c r="G6" s="27">
        <f>D6/Policy!$B$8</f>
        <v/>
      </c>
      <c r="H6" s="27">
        <f>D6/((Policy!$B$8+Policy!$B$9)/2)</f>
        <v/>
      </c>
      <c r="I6" s="27">
        <f>D6/Policy!$B$9</f>
        <v/>
      </c>
      <c r="J6" s="26">
        <f>E6*0.8</f>
        <v/>
      </c>
      <c r="K6" s="28" t="n">
        <v>-0.1087866108786611</v>
      </c>
      <c r="L6" s="9" t="inlineStr">
        <is>
          <t>Avoid</t>
        </is>
      </c>
      <c r="M6" s="29" t="inlineStr">
        <is>
          <t>Yield 4.97% below band; would reach 6% at 1.765.</t>
        </is>
      </c>
    </row>
    <row r="7">
      <c r="A7" s="4" t="inlineStr">
        <is>
          <t>J69U</t>
        </is>
      </c>
      <c r="B7" s="4" t="inlineStr">
        <is>
          <t>Frasers Centrepoint Trust</t>
        </is>
      </c>
      <c r="C7" s="24" t="n">
        <v>2.07</v>
      </c>
      <c r="D7" s="25" t="n">
        <v>0.12099</v>
      </c>
      <c r="E7" s="26">
        <f>IF(C7&gt;0,D7/C7,"")</f>
        <v/>
      </c>
      <c r="F7">
        <f>IF(E7="","no data",IF(E7&lt;Policy!$B$8,"below band",IF(E7&gt;Policy!$B$9,"above band","in band")))</f>
        <v/>
      </c>
      <c r="G7" s="27">
        <f>D7/Policy!$B$8</f>
        <v/>
      </c>
      <c r="H7" s="27">
        <f>D7/((Policy!$B$8+Policy!$B$9)/2)</f>
        <v/>
      </c>
      <c r="I7" s="27">
        <f>D7/Policy!$B$9</f>
        <v/>
      </c>
      <c r="J7" s="26">
        <f>E7*0.8</f>
        <v/>
      </c>
      <c r="K7" s="28" t="n">
        <v>-0.1302521008403361</v>
      </c>
      <c r="L7" s="9" t="inlineStr">
        <is>
          <t>Avoid</t>
        </is>
      </c>
      <c r="M7" s="29" t="inlineStr">
        <is>
          <t>Yield 5.84% below band; would reach 6% at 2.016.</t>
        </is>
      </c>
    </row>
    <row r="8">
      <c r="A8" s="4" t="inlineStr">
        <is>
          <t>CJLU</t>
        </is>
      </c>
      <c r="B8" s="4" t="inlineStr">
        <is>
          <t>NetLink NBN Trust</t>
        </is>
      </c>
      <c r="C8" s="24" t="n">
        <v>0.9550000000000001</v>
      </c>
      <c r="D8" s="25" t="n">
        <v>0.0542</v>
      </c>
      <c r="E8" s="26">
        <f>IF(C8&gt;0,D8/C8,"")</f>
        <v/>
      </c>
      <c r="F8">
        <f>IF(E8="","no data",IF(E8&lt;Policy!$B$8,"below band",IF(E8&gt;Policy!$B$9,"above band","in band")))</f>
        <v/>
      </c>
      <c r="G8" s="27">
        <f>D8/Policy!$B$8</f>
        <v/>
      </c>
      <c r="H8" s="27">
        <f>D8/((Policy!$B$8+Policy!$B$9)/2)</f>
        <v/>
      </c>
      <c r="I8" s="27">
        <f>D8/Policy!$B$9</f>
        <v/>
      </c>
      <c r="J8" s="26">
        <f>E8*0.8</f>
        <v/>
      </c>
      <c r="K8" s="28" t="n">
        <v>-0.00520833333333337</v>
      </c>
      <c r="L8" s="9" t="inlineStr">
        <is>
          <t>Avoid</t>
        </is>
      </c>
      <c r="M8" s="29" t="inlineStr">
        <is>
          <t>Yield 5.58% below band; would reach 6% at 0.888.</t>
        </is>
      </c>
    </row>
    <row r="9">
      <c r="A9" s="4" t="inlineStr">
        <is>
          <t>C38U</t>
        </is>
      </c>
      <c r="B9" s="4" t="inlineStr">
        <is>
          <t>CapitaLand Integrated Commercial Trust</t>
        </is>
      </c>
      <c r="C9" s="24" t="n">
        <v>2.24</v>
      </c>
      <c r="D9" s="25" t="n">
        <v>0.1063</v>
      </c>
      <c r="E9" s="26">
        <f>IF(C9&gt;0,D9/C9,"")</f>
        <v/>
      </c>
      <c r="F9">
        <f>IF(E9="","no data",IF(E9&lt;Policy!$B$8,"below band",IF(E9&gt;Policy!$B$9,"above band","in band")))</f>
        <v/>
      </c>
      <c r="G9" s="27">
        <f>D9/Policy!$B$8</f>
        <v/>
      </c>
      <c r="H9" s="27">
        <f>D9/((Policy!$B$8+Policy!$B$9)/2)</f>
        <v/>
      </c>
      <c r="I9" s="27">
        <f>D9/Policy!$B$9</f>
        <v/>
      </c>
      <c r="J9" s="26">
        <f>E9*0.8</f>
        <v/>
      </c>
      <c r="K9" s="28" t="n">
        <v>-0.04273504273504258</v>
      </c>
      <c r="L9" s="9" t="inlineStr">
        <is>
          <t>Avoid</t>
        </is>
      </c>
      <c r="M9" s="29" t="inlineStr">
        <is>
          <t>Yield 4.75% below band; would reach 6% at 1.772.</t>
        </is>
      </c>
    </row>
    <row r="10">
      <c r="A10" s="4" t="inlineStr">
        <is>
          <t>Z74</t>
        </is>
      </c>
      <c r="B10" s="4" t="inlineStr">
        <is>
          <t>Singtel</t>
        </is>
      </c>
      <c r="C10" s="24" t="n">
        <v>4.24</v>
      </c>
      <c r="D10" s="25" t="n">
        <v>0.185</v>
      </c>
      <c r="E10" s="26">
        <f>IF(C10&gt;0,D10/C10,"")</f>
        <v/>
      </c>
      <c r="F10">
        <f>IF(E10="","no data",IF(E10&lt;Policy!$B$8,"below band",IF(E10&gt;Policy!$B$9,"above band","in band")))</f>
        <v/>
      </c>
      <c r="G10" s="27">
        <f>D10/Policy!$B$8</f>
        <v/>
      </c>
      <c r="H10" s="27">
        <f>D10/((Policy!$B$8+Policy!$B$9)/2)</f>
        <v/>
      </c>
      <c r="I10" s="27">
        <f>D10/Policy!$B$9</f>
        <v/>
      </c>
      <c r="J10" s="26">
        <f>E10*0.8</f>
        <v/>
      </c>
      <c r="K10" s="28" t="n">
        <v>-0.004694835680751019</v>
      </c>
      <c r="L10" s="9" t="inlineStr">
        <is>
          <t>Avoid</t>
        </is>
      </c>
      <c r="M10" s="29" t="inlineStr">
        <is>
          <t>Yield 3.86% below band; would reach 6% at 2.725.</t>
        </is>
      </c>
    </row>
    <row r="11">
      <c r="A11" s="4" t="inlineStr">
        <is>
          <t>D05</t>
        </is>
      </c>
      <c r="B11" s="4" t="inlineStr">
        <is>
          <t>DBS</t>
        </is>
      </c>
      <c r="C11" s="24" t="n">
        <v>73.36</v>
      </c>
      <c r="D11" s="25" t="n">
        <v>3.18</v>
      </c>
      <c r="E11" s="26">
        <f>IF(C11&gt;0,D11/C11,"")</f>
        <v/>
      </c>
      <c r="F11">
        <f>IF(E11="","no data",IF(E11&lt;Policy!$B$8,"below band",IF(E11&gt;Policy!$B$9,"above band","in band")))</f>
        <v/>
      </c>
      <c r="G11" s="27">
        <f>D11/Policy!$B$8</f>
        <v/>
      </c>
      <c r="H11" s="27">
        <f>D11/((Policy!$B$8+Policy!$B$9)/2)</f>
        <v/>
      </c>
      <c r="I11" s="27">
        <f>D11/Policy!$B$9</f>
        <v/>
      </c>
      <c r="J11" s="26">
        <f>E11*0.8</f>
        <v/>
      </c>
      <c r="K11" s="28" t="n">
        <v>0.3623026926648096</v>
      </c>
      <c r="L11" s="9" t="inlineStr">
        <is>
          <t>Hold</t>
        </is>
      </c>
      <c r="M11" s="29" t="inlineStr">
        <is>
          <t>Yield 3.44% below band; would reach 6% at 42.083.</t>
        </is>
      </c>
    </row>
    <row r="12">
      <c r="A12" s="4" t="inlineStr">
        <is>
          <t>C2PU</t>
        </is>
      </c>
      <c r="B12" s="4" t="inlineStr">
        <is>
          <t>Parkway Life REIT</t>
        </is>
      </c>
      <c r="C12" s="24" t="n">
        <v>3.98</v>
      </c>
      <c r="D12" s="25" t="n">
        <v>0.1641</v>
      </c>
      <c r="E12" s="26">
        <f>IF(C12&gt;0,D12/C12,"")</f>
        <v/>
      </c>
      <c r="F12">
        <f>IF(E12="","no data",IF(E12&lt;Policy!$B$8,"below band",IF(E12&gt;Policy!$B$9,"above band","in band")))</f>
        <v/>
      </c>
      <c r="G12" s="27">
        <f>D12/Policy!$B$8</f>
        <v/>
      </c>
      <c r="H12" s="27">
        <f>D12/((Policy!$B$8+Policy!$B$9)/2)</f>
        <v/>
      </c>
      <c r="I12" s="27">
        <f>D12/Policy!$B$9</f>
        <v/>
      </c>
      <c r="J12" s="26">
        <f>E12*0.8</f>
        <v/>
      </c>
      <c r="K12" s="28" t="n">
        <v>-0.03864734299516903</v>
      </c>
      <c r="L12" s="9" t="inlineStr">
        <is>
          <t>Hold</t>
        </is>
      </c>
      <c r="M12" s="29" t="inlineStr">
        <is>
          <t>Yield 3.84% below band; would reach 6% at 2.545.</t>
        </is>
      </c>
    </row>
    <row r="13">
      <c r="A13" s="4" t="inlineStr">
        <is>
          <t>U11</t>
        </is>
      </c>
      <c r="B13" s="4" t="inlineStr">
        <is>
          <t>UOB</t>
        </is>
      </c>
      <c r="C13" s="24" t="n">
        <v>39.96</v>
      </c>
      <c r="D13" s="25" t="n">
        <v>1.59</v>
      </c>
      <c r="E13" s="26">
        <f>IF(C13&gt;0,D13/C13,"")</f>
        <v/>
      </c>
      <c r="F13">
        <f>IF(E13="","no data",IF(E13&lt;Policy!$B$8,"below band",IF(E13&gt;Policy!$B$9,"above band","in band")))</f>
        <v/>
      </c>
      <c r="G13" s="27">
        <f>D13/Policy!$B$8</f>
        <v/>
      </c>
      <c r="H13" s="27">
        <f>D13/((Policy!$B$8+Policy!$B$9)/2)</f>
        <v/>
      </c>
      <c r="I13" s="27">
        <f>D13/Policy!$B$9</f>
        <v/>
      </c>
      <c r="J13" s="26">
        <f>E13*0.8</f>
        <v/>
      </c>
      <c r="K13" s="28" t="n">
        <v>0.1310500990659498</v>
      </c>
      <c r="L13" s="9" t="inlineStr">
        <is>
          <t>Hold</t>
        </is>
      </c>
      <c r="M13" s="29" t="inlineStr">
        <is>
          <t>Yield 3.98% below band; would reach 6% at 26.500.</t>
        </is>
      </c>
    </row>
    <row r="14">
      <c r="A14" s="4" t="inlineStr">
        <is>
          <t>O39</t>
        </is>
      </c>
      <c r="B14" s="4" t="inlineStr">
        <is>
          <t>OCBC</t>
        </is>
      </c>
      <c r="C14" s="24" t="n">
        <v>29</v>
      </c>
      <c r="D14" s="25" t="n">
        <v>1.05</v>
      </c>
      <c r="E14" s="26">
        <f>IF(C14&gt;0,D14/C14,"")</f>
        <v/>
      </c>
      <c r="F14">
        <f>IF(E14="","no data",IF(E14&lt;Policy!$B$8,"below band",IF(E14&gt;Policy!$B$9,"above band","in band")))</f>
        <v/>
      </c>
      <c r="G14" s="27">
        <f>D14/Policy!$B$8</f>
        <v/>
      </c>
      <c r="H14" s="27">
        <f>D14/((Policy!$B$8+Policy!$B$9)/2)</f>
        <v/>
      </c>
      <c r="I14" s="27">
        <f>D14/Policy!$B$9</f>
        <v/>
      </c>
      <c r="J14" s="26">
        <f>E14*0.8</f>
        <v/>
      </c>
      <c r="K14" s="28" t="n">
        <v>0.7180094786729858</v>
      </c>
      <c r="L14" s="9" t="inlineStr">
        <is>
          <t>Hold</t>
        </is>
      </c>
      <c r="M14" s="29" t="inlineStr">
        <is>
          <t>Yield 3.18% below band; would reach 6% at 15.375.</t>
        </is>
      </c>
    </row>
    <row r="15">
      <c r="A15" s="4" t="inlineStr">
        <is>
          <t>S63</t>
        </is>
      </c>
      <c r="B15" s="4" t="inlineStr">
        <is>
          <t>ST Engineering</t>
        </is>
      </c>
      <c r="C15" s="24" t="n">
        <v>10.42</v>
      </c>
      <c r="D15" s="25" t="n">
        <v>0.24</v>
      </c>
      <c r="E15" s="26">
        <f>IF(C15&gt;0,D15/C15,"")</f>
        <v/>
      </c>
      <c r="F15">
        <f>IF(E15="","no data",IF(E15&lt;Policy!$B$8,"below band",IF(E15&gt;Policy!$B$9,"above band","in band")))</f>
        <v/>
      </c>
      <c r="G15" s="27">
        <f>D15/Policy!$B$8</f>
        <v/>
      </c>
      <c r="H15" s="27">
        <f>D15/((Policy!$B$8+Policy!$B$9)/2)</f>
        <v/>
      </c>
      <c r="I15" s="27">
        <f>D15/Policy!$B$9</f>
        <v/>
      </c>
      <c r="J15" s="26">
        <f>E15*0.8</f>
        <v/>
      </c>
      <c r="K15" s="28" t="n">
        <v>0.2187134502923975</v>
      </c>
      <c r="L15" s="9" t="inlineStr">
        <is>
          <t>Hold</t>
        </is>
      </c>
      <c r="M15" s="29" t="inlineStr">
        <is>
          <t>Yield 1.75% below band; would reach 6% at 3.042.</t>
        </is>
      </c>
    </row>
    <row r="17">
      <c r="A17" s="2" t="inlineStr">
        <is>
          <t>Trailing cash = distributions with ex-date in the 365 days to the as-of date, from IBKR corporate actions, cross-checked to IBKR dividend yield.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40" customWidth="1" min="3" max="3"/>
    <col width="12" customWidth="1" min="4" max="4"/>
  </cols>
  <sheetData>
    <row r="1">
      <c r="A1" s="5" t="inlineStr">
        <is>
          <t>Pair</t>
        </is>
      </c>
      <c r="B1" s="5" t="inlineStr">
        <is>
          <t>Trend</t>
        </is>
      </c>
      <c r="C1" s="5" t="inlineStr">
        <is>
          <t>Read</t>
        </is>
      </c>
      <c r="D1" s="5" t="inlineStr">
        <is>
          <t>3m change</t>
        </is>
      </c>
    </row>
    <row r="2">
      <c r="A2" s="4" t="inlineStr">
        <is>
          <t>GBP/USD</t>
        </is>
      </c>
      <c r="B2" s="4" t="inlineStr">
        <is>
          <t>mixed</t>
        </is>
      </c>
      <c r="C2" s="4" t="inlineStr">
        <is>
          <t>No clear trend</t>
        </is>
      </c>
      <c r="D2" s="28" t="n">
        <v>-0.01275286659830344</v>
      </c>
    </row>
    <row r="3">
      <c r="A3" s="4" t="inlineStr">
        <is>
          <t>EUR/USD</t>
        </is>
      </c>
      <c r="B3" s="4" t="inlineStr">
        <is>
          <t>down</t>
        </is>
      </c>
      <c r="C3" s="4" t="inlineStr">
        <is>
          <t>EUR weakening vs USD</t>
        </is>
      </c>
      <c r="D3" s="28" t="n">
        <v>-0.01887825496594464</v>
      </c>
    </row>
    <row r="4">
      <c r="A4" s="4" t="inlineStr">
        <is>
          <t>EUR/GBP</t>
        </is>
      </c>
      <c r="B4" s="4" t="inlineStr">
        <is>
          <t>down</t>
        </is>
      </c>
      <c r="C4" s="4" t="inlineStr">
        <is>
          <t>EUR weakening vs GBP</t>
        </is>
      </c>
      <c r="D4" s="28" t="n">
        <v>-0.006603275224511318</v>
      </c>
    </row>
    <row r="5">
      <c r="A5" s="4" t="inlineStr">
        <is>
          <t>USD/JPY</t>
        </is>
      </c>
      <c r="B5" s="4" t="inlineStr">
        <is>
          <t>mixed</t>
        </is>
      </c>
      <c r="C5" s="4" t="inlineStr">
        <is>
          <t>No clear trend</t>
        </is>
      </c>
      <c r="D5" s="28" t="n">
        <v>-0.02088841473785119</v>
      </c>
    </row>
    <row r="6">
      <c r="A6" s="4" t="inlineStr">
        <is>
          <t>USD/SGD</t>
        </is>
      </c>
      <c r="B6" s="4" t="inlineStr">
        <is>
          <t>mixed</t>
        </is>
      </c>
      <c r="C6" s="4" t="inlineStr">
        <is>
          <t>No clear trend</t>
        </is>
      </c>
      <c r="D6" s="28" t="n">
        <v>-0.008496719376004047</v>
      </c>
    </row>
    <row r="7">
      <c r="A7" s="4" t="inlineStr">
        <is>
          <t>USD/HKD</t>
        </is>
      </c>
      <c r="B7" s="4" t="inlineStr">
        <is>
          <t>up</t>
        </is>
      </c>
      <c r="C7" s="4" t="inlineStr">
        <is>
          <t>USD strengthening vs HKD</t>
        </is>
      </c>
      <c r="D7" s="28" t="n">
        <v>0.001077895488784231</v>
      </c>
    </row>
    <row r="8">
      <c r="A8" s="4" t="inlineStr">
        <is>
          <t>USD/CNH</t>
        </is>
      </c>
      <c r="B8" s="4" t="inlineStr">
        <is>
          <t>down</t>
        </is>
      </c>
      <c r="C8" s="4" t="inlineStr">
        <is>
          <t>USD weakening vs CNH</t>
        </is>
      </c>
      <c r="D8" s="28" t="n">
        <v>-0.01312641686786953</v>
      </c>
    </row>
    <row r="9">
      <c r="A9" s="4" t="inlineStr">
        <is>
          <t>AUD/USD</t>
        </is>
      </c>
      <c r="B9" s="4" t="inlineStr">
        <is>
          <t>mixed</t>
        </is>
      </c>
      <c r="C9" s="4" t="inlineStr">
        <is>
          <t>No clear trend</t>
        </is>
      </c>
      <c r="D9" s="28" t="n">
        <v>0.003773178094006013</v>
      </c>
    </row>
    <row r="10">
      <c r="A10" s="4" t="inlineStr">
        <is>
          <t>USD/CHF</t>
        </is>
      </c>
      <c r="B10" s="4" t="inlineStr">
        <is>
          <t>up</t>
        </is>
      </c>
      <c r="C10" s="4" t="inlineStr">
        <is>
          <t>USD strengthening vs CHF</t>
        </is>
      </c>
      <c r="D10" s="28" t="n">
        <v>0.02680973437644951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52" customWidth="1" min="3" max="3"/>
    <col width="11" customWidth="1" min="4" max="4"/>
    <col width="6" customWidth="1" min="5" max="5"/>
    <col width="10" customWidth="1" min="6" max="6"/>
    <col width="11" customWidth="1" min="7" max="7"/>
    <col width="12" customWidth="1" min="8" max="8"/>
    <col width="10" customWidth="1" min="9" max="9"/>
    <col width="11" customWidth="1" min="10" max="10"/>
    <col width="12" customWidth="1" min="11" max="11"/>
    <col width="10" customWidth="1" min="12" max="12"/>
    <col width="10" customWidth="1" min="13" max="13"/>
    <col width="8" customWidth="1" min="14" max="14"/>
    <col width="12" customWidth="1" min="15" max="15"/>
    <col width="13" customWidth="1" min="16" max="16"/>
    <col width="13" customWidth="1" min="17" max="17"/>
  </cols>
  <sheetData>
    <row r="1">
      <c r="A1" s="5" t="inlineStr">
        <is>
          <t>Underlying</t>
        </is>
      </c>
      <c r="B1" s="5" t="inlineStr">
        <is>
          <t>Structure</t>
        </is>
      </c>
      <c r="C1" s="5" t="inlineStr">
        <is>
          <t>Legs</t>
        </is>
      </c>
      <c r="D1" s="5" t="inlineStr">
        <is>
          <t>Expiry</t>
        </is>
      </c>
      <c r="E1" s="5" t="inlineStr">
        <is>
          <t>Days</t>
        </is>
      </c>
      <c r="F1" s="5" t="inlineStr">
        <is>
          <t>Spot</t>
        </is>
      </c>
      <c r="G1" s="5" t="inlineStr">
        <is>
          <t>Debit / share</t>
        </is>
      </c>
      <c r="H1" s="5" t="inlineStr">
        <is>
          <t>Cost per contract</t>
        </is>
      </c>
      <c r="I1" s="5" t="inlineStr">
        <is>
          <t>Breakeven</t>
        </is>
      </c>
      <c r="J1" s="5" t="inlineStr">
        <is>
          <t>Move to breakeven</t>
        </is>
      </c>
      <c r="K1" s="5" t="inlineStr">
        <is>
          <t>Max gain / share</t>
        </is>
      </c>
      <c r="L1" s="5" t="inlineStr">
        <is>
          <t>Reward : risk</t>
        </is>
      </c>
      <c r="M1" s="5" t="inlineStr">
        <is>
          <t>Prob. of profit</t>
        </is>
      </c>
      <c r="N1" s="5" t="inlineStr">
        <is>
          <t>IV</t>
        </is>
      </c>
      <c r="O1" s="5" t="inlineStr">
        <is>
          <t>Contracts (per-trade budget)</t>
        </is>
      </c>
      <c r="P1" s="5" t="inlineStr">
        <is>
          <t>Premium at risk</t>
        </is>
      </c>
      <c r="Q1" s="5" t="inlineStr">
        <is>
          <t>Stop: close at value</t>
        </is>
      </c>
    </row>
    <row r="2">
      <c r="A2" s="4" t="inlineStr">
        <is>
          <t>XOM</t>
        </is>
      </c>
      <c r="B2" s="4" t="inlineStr">
        <is>
          <t>Bull call spread</t>
        </is>
      </c>
      <c r="C2" s="4" t="inlineStr">
        <is>
          <t>Buy 170C / Sell 185C</t>
        </is>
      </c>
      <c r="D2" s="4" t="inlineStr">
        <is>
          <t>2026-12-18</t>
        </is>
      </c>
      <c r="E2" s="30" t="n">
        <v>70</v>
      </c>
      <c r="F2" s="31" t="n">
        <v>168.79</v>
      </c>
      <c r="G2" s="32" t="n">
        <v>4.869999999999999</v>
      </c>
      <c r="H2" s="23">
        <f>G2*100</f>
        <v/>
      </c>
      <c r="I2" s="31" t="n">
        <v>174.87</v>
      </c>
      <c r="J2" s="33">
        <f>I2/F2-1</f>
        <v/>
      </c>
      <c r="K2" s="32" t="n">
        <v>10.13</v>
      </c>
      <c r="L2" s="34">
        <f>IF(K2="","open",K2/G2)</f>
        <v/>
      </c>
      <c r="M2" s="7" t="n">
        <v>0.3871584884160816</v>
      </c>
      <c r="N2" s="7" t="n">
        <v>0.2810445455354585</v>
      </c>
      <c r="O2">
        <f>INT(Policy!$B$2*Policy!$B$11/H2)</f>
        <v/>
      </c>
      <c r="P2" s="23">
        <f>O2*H2</f>
        <v/>
      </c>
      <c r="Q2" s="35">
        <f>G2*(1-0.5)</f>
        <v/>
      </c>
    </row>
    <row r="3">
      <c r="A3" s="4" t="inlineStr">
        <is>
          <t>GLD</t>
        </is>
      </c>
      <c r="B3" s="4" t="inlineStr">
        <is>
          <t>Bear put spread</t>
        </is>
      </c>
      <c r="C3" s="4" t="inlineStr">
        <is>
          <t>Buy 385P / Sell 345P</t>
        </is>
      </c>
      <c r="D3" s="4" t="inlineStr">
        <is>
          <t>2026-12-18</t>
        </is>
      </c>
      <c r="E3" s="30" t="n">
        <v>70</v>
      </c>
      <c r="F3" s="31" t="n">
        <v>384.5</v>
      </c>
      <c r="G3" s="32" t="n">
        <v>10.935</v>
      </c>
      <c r="H3" s="23">
        <f>G3*100</f>
        <v/>
      </c>
      <c r="I3" s="31" t="n">
        <v>374.065</v>
      </c>
      <c r="J3" s="33">
        <f>I3/F3-1</f>
        <v/>
      </c>
      <c r="K3" s="32" t="n">
        <v>29.065</v>
      </c>
      <c r="L3" s="34">
        <f>IF(K3="","open",K3/G3)</f>
        <v/>
      </c>
      <c r="M3" s="7" t="n">
        <v>0.3696283649665559</v>
      </c>
      <c r="N3" s="7" t="n">
        <v>0.2118650645885107</v>
      </c>
      <c r="O3">
        <f>INT(Policy!$B$2*Policy!$B$11/H3)</f>
        <v/>
      </c>
      <c r="P3" s="23">
        <f>O3*H3</f>
        <v/>
      </c>
      <c r="Q3" s="35">
        <f>G3*(1-0.5)</f>
        <v/>
      </c>
    </row>
    <row r="4">
      <c r="A4" s="4" t="inlineStr">
        <is>
          <t>GOOGL</t>
        </is>
      </c>
      <c r="B4" s="4" t="inlineStr">
        <is>
          <t>Bull call spread</t>
        </is>
      </c>
      <c r="C4" s="4" t="inlineStr">
        <is>
          <t>Buy 350C / Sell 385C</t>
        </is>
      </c>
      <c r="D4" s="4" t="inlineStr">
        <is>
          <t>2026-12-18</t>
        </is>
      </c>
      <c r="E4" s="30" t="n">
        <v>70</v>
      </c>
      <c r="F4" s="31" t="n">
        <v>351.6</v>
      </c>
      <c r="G4" s="32" t="n">
        <v>13.15</v>
      </c>
      <c r="H4" s="23">
        <f>G4*100</f>
        <v/>
      </c>
      <c r="I4" s="31" t="n">
        <v>363.15</v>
      </c>
      <c r="J4" s="33">
        <f>I4/F4-1</f>
        <v/>
      </c>
      <c r="K4" s="32" t="n">
        <v>21.85</v>
      </c>
      <c r="L4" s="34">
        <f>IF(K4="","open",K4/G4)</f>
        <v/>
      </c>
      <c r="M4" s="7" t="n">
        <v>0.4037161664047117</v>
      </c>
      <c r="N4" s="7" t="n">
        <v>0.3269979255462589</v>
      </c>
      <c r="O4">
        <f>INT(Policy!$B$2*Policy!$B$11/H4)</f>
        <v/>
      </c>
      <c r="P4" s="23">
        <f>O4*H4</f>
        <v/>
      </c>
      <c r="Q4" s="35">
        <f>G4*(1-0.5)</f>
        <v/>
      </c>
    </row>
    <row r="5">
      <c r="A5" s="4" t="inlineStr">
        <is>
          <t>AAPL</t>
        </is>
      </c>
      <c r="B5" s="4" t="inlineStr">
        <is>
          <t>Bull call spread</t>
        </is>
      </c>
      <c r="C5" s="4" t="inlineStr">
        <is>
          <t>Buy 335C / Sell 370C</t>
        </is>
      </c>
      <c r="D5" s="4" t="inlineStr">
        <is>
          <t>2026-12-18</t>
        </is>
      </c>
      <c r="E5" s="30" t="n">
        <v>70</v>
      </c>
      <c r="F5" s="31" t="n">
        <v>336.08</v>
      </c>
      <c r="G5" s="32" t="n">
        <v>12.65</v>
      </c>
      <c r="H5" s="23">
        <f>G5*100</f>
        <v/>
      </c>
      <c r="I5" s="31" t="n">
        <v>347.65</v>
      </c>
      <c r="J5" s="33">
        <f>I5/F5-1</f>
        <v/>
      </c>
      <c r="K5" s="32" t="n">
        <v>22.35</v>
      </c>
      <c r="L5" s="34">
        <f>IF(K5="","open",K5/G5)</f>
        <v/>
      </c>
      <c r="M5" s="7" t="n">
        <v>0.3833130681647903</v>
      </c>
      <c r="N5" s="7" t="n">
        <v>0.2460641228716788</v>
      </c>
      <c r="O5">
        <f>INT(Policy!$B$2*Policy!$B$11/H5)</f>
        <v/>
      </c>
      <c r="P5" s="23">
        <f>O5*H5</f>
        <v/>
      </c>
      <c r="Q5" s="35">
        <f>G5*(1-0.5)</f>
        <v/>
      </c>
    </row>
    <row r="6">
      <c r="A6" s="4" t="inlineStr">
        <is>
          <t>ORCL</t>
        </is>
      </c>
      <c r="B6" s="4" t="inlineStr">
        <is>
          <t>Bear put spread</t>
        </is>
      </c>
      <c r="C6" s="4" t="inlineStr">
        <is>
          <t>Buy 140P / Sell 125P</t>
        </is>
      </c>
      <c r="D6" s="4" t="inlineStr">
        <is>
          <t>2026-12-18</t>
        </is>
      </c>
      <c r="E6" s="30" t="n">
        <v>70</v>
      </c>
      <c r="F6" s="31" t="n">
        <v>141.55</v>
      </c>
      <c r="G6" s="32" t="n">
        <v>6.549999999999999</v>
      </c>
      <c r="H6" s="23">
        <f>G6*100</f>
        <v/>
      </c>
      <c r="I6" s="31" t="n">
        <v>133.45</v>
      </c>
      <c r="J6" s="33">
        <f>I6/F6-1</f>
        <v/>
      </c>
      <c r="K6" s="32" t="n">
        <v>8.450000000000001</v>
      </c>
      <c r="L6" s="34">
        <f>IF(K6="","open",K6/G6)</f>
        <v/>
      </c>
      <c r="M6" s="7" t="n">
        <v>0.4431225168684176</v>
      </c>
      <c r="N6" s="7" t="n">
        <v>0.5684448562830207</v>
      </c>
      <c r="O6">
        <f>INT(Policy!$B$2*Policy!$B$11/H6)</f>
        <v/>
      </c>
      <c r="P6" s="23">
        <f>O6*H6</f>
        <v/>
      </c>
      <c r="Q6" s="35">
        <f>G6*(1-0.5)</f>
        <v/>
      </c>
    </row>
    <row r="8">
      <c r="A8" s="9" t="inlineStr">
        <is>
          <t>Sleeve check</t>
        </is>
      </c>
      <c r="O8" s="9" t="inlineStr">
        <is>
          <t>Total if all taken</t>
        </is>
      </c>
      <c r="P8" s="23">
        <f>SUM(P2:P6)</f>
        <v/>
      </c>
    </row>
    <row r="9">
      <c r="O9" s="9" t="inlineStr">
        <is>
          <t>Sleeve cap</t>
        </is>
      </c>
      <c r="P9" s="23">
        <f>Policy!$B$2*Policy!$B$10</f>
        <v/>
      </c>
    </row>
    <row r="10">
      <c r="O10" s="9" t="inlineStr">
        <is>
          <t>Within cap?</t>
        </is>
      </c>
      <c r="P10">
        <f>IF(P8&lt;=P9,"Yes","No: pick fewer trades")</f>
        <v/>
      </c>
    </row>
    <row r="12">
      <c r="A12" s="2" t="inlineStr">
        <is>
          <t>Probability of profit is risk-neutral, from the option's implied volatility. Debits are mid prices from IBKR weekend quotes; re-price live before trading. Defined risk only: maximum loss = premium paid.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12" customWidth="1" min="3" max="3"/>
    <col width="10" customWidth="1" min="4" max="4"/>
    <col width="9" customWidth="1" min="5" max="5"/>
    <col width="10" customWidth="1" min="6" max="6"/>
    <col width="40" customWidth="1" min="7" max="7"/>
    <col width="40" customWidth="1" min="8" max="8"/>
    <col width="40" customWidth="1" min="9" max="9"/>
    <col width="11" customWidth="1" min="10" max="10"/>
    <col width="30" customWidth="1" min="11" max="11"/>
  </cols>
  <sheetData>
    <row r="1">
      <c r="A1" s="5" t="inlineStr">
        <is>
          <t>Date</t>
        </is>
      </c>
      <c r="B1" s="5" t="inlineStr">
        <is>
          <t>Symbol</t>
        </is>
      </c>
      <c r="C1" s="5" t="inlineStr">
        <is>
          <t>Decision</t>
        </is>
      </c>
      <c r="D1" s="5" t="inlineStr">
        <is>
          <t>Price</t>
        </is>
      </c>
      <c r="E1" s="5" t="inlineStr">
        <is>
          <t>Weight</t>
        </is>
      </c>
      <c r="F1" s="5" t="inlineStr">
        <is>
          <t>Exit level</t>
        </is>
      </c>
      <c r="G1" s="5" t="inlineStr">
        <is>
          <t>Assumption (must be true)</t>
        </is>
      </c>
      <c r="H1" s="5" t="inlineStr">
        <is>
          <t>Strongest counter-case</t>
        </is>
      </c>
      <c r="I1" s="5" t="inlineStr">
        <is>
          <t>Pre-mortem: top reason it fails</t>
        </is>
      </c>
      <c r="J1" s="5" t="inlineStr">
        <is>
          <t>Review date</t>
        </is>
      </c>
      <c r="K1" s="5" t="inlineStr">
        <is>
          <t>Outcome (fill at review)</t>
        </is>
      </c>
    </row>
    <row r="2">
      <c r="A2" s="36" t="inlineStr">
        <is>
          <t>2026-10-12</t>
        </is>
      </c>
      <c r="B2" s="36" t="inlineStr">
        <is>
          <t>XLE</t>
        </is>
      </c>
      <c r="C2" s="36" t="inlineStr">
        <is>
          <t>Accumulate</t>
        </is>
      </c>
      <c r="D2" s="36" t="n">
        <v>65.08</v>
      </c>
      <c r="E2" s="37" t="n">
        <v>0.029</v>
      </c>
      <c r="F2" s="36" t="n">
        <v>55.59</v>
      </c>
      <c r="G2" s="36" t="inlineStr">
        <is>
          <t>Oil stays in up-trend through Q1 2027</t>
        </is>
      </c>
      <c r="H2" s="36" t="inlineStr">
        <is>
          <t>OPEC supply increase reverses oil</t>
        </is>
      </c>
      <c r="I2" s="36" t="inlineStr">
        <is>
          <t>Demand slowdown cuts oil 20%</t>
        </is>
      </c>
      <c r="J2" s="36" t="inlineStr">
        <is>
          <t>2026-12-12</t>
        </is>
      </c>
      <c r="K2" s="36" t="inlineStr"/>
    </row>
  </sheetData>
  <dataValidations count="1">
    <dataValidation sqref="C2:C500" showDropDown="0" showInputMessage="0" showErrorMessage="0" allowBlank="1" type="list">
      <formula1>"Accumulate,Hold,Watch,Avoid"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2026-10-11T18:16:41Z</dcterms:created>
  <dcterms:modified xsi:type="dcterms:W3CDTF">2026-10-11T18:16:41Z</dcterms:modified>
</cp:coreProperties>
</file>